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CB60A31D-A625-4C78-8FB3-617C5CF82FC5}" xr6:coauthVersionLast="47" xr6:coauthVersionMax="47" xr10:uidLastSave="{00000000-0000-0000-0000-000000000000}"/>
  <bookViews>
    <workbookView xWindow="4305" yWindow="2685" windowWidth="23430" windowHeight="13140" activeTab="1" xr2:uid="{00000000-000D-0000-FFFF-FFFF00000000}"/>
  </bookViews>
  <sheets>
    <sheet name="Hoja4" sheetId="5" r:id="rId1"/>
    <sheet name="Datos" sheetId="1" r:id="rId2"/>
    <sheet name="Hoja1" sheetId="2" r:id="rId3"/>
  </sheets>
  <definedNames>
    <definedName name="_xlnm._FilterDatabase" localSheetId="2" hidden="1">Hoja1!$A$1:$I$101</definedName>
  </definedNames>
  <calcPr calcId="191029"/>
  <pivotCaches>
    <pivotCache cacheId="2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1" l="1"/>
  <c r="C30" i="1"/>
  <c r="E41" i="1"/>
  <c r="G60" i="1"/>
  <c r="E64" i="1"/>
  <c r="C92" i="1"/>
  <c r="C102" i="1"/>
  <c r="E102" i="1"/>
  <c r="F2" i="1"/>
  <c r="F3" i="1"/>
  <c r="F4" i="1"/>
  <c r="F5" i="1"/>
  <c r="F6" i="1"/>
  <c r="F7" i="1"/>
  <c r="F8" i="1"/>
  <c r="F9" i="1"/>
  <c r="T12" i="1"/>
  <c r="S12" i="1"/>
  <c r="R12" i="1"/>
  <c r="P12" i="1"/>
  <c r="O12" i="1"/>
  <c r="N12" i="1"/>
  <c r="M12" i="1"/>
  <c r="L12" i="1"/>
  <c r="A102" i="1"/>
  <c r="B102" i="1"/>
  <c r="D102" i="1"/>
  <c r="G102" i="1"/>
  <c r="H102" i="1"/>
  <c r="I102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Q12" i="1"/>
  <c r="F102" i="1" l="1"/>
</calcChain>
</file>

<file path=xl/sharedStrings.xml><?xml version="1.0" encoding="utf-8"?>
<sst xmlns="http://schemas.openxmlformats.org/spreadsheetml/2006/main" count="978" uniqueCount="100">
  <si>
    <t>ID</t>
  </si>
  <si>
    <t>Nombre</t>
  </si>
  <si>
    <t>Edad</t>
  </si>
  <si>
    <t>Ciudad</t>
  </si>
  <si>
    <t>Salario</t>
  </si>
  <si>
    <t>Fecha de Ingreso</t>
  </si>
  <si>
    <t>Horas Trabajadas</t>
  </si>
  <si>
    <t>Categoría</t>
  </si>
  <si>
    <t>Estado</t>
  </si>
  <si>
    <t>Carlos</t>
  </si>
  <si>
    <t>Ana</t>
  </si>
  <si>
    <t>Luis</t>
  </si>
  <si>
    <t>Jorge</t>
  </si>
  <si>
    <t>María</t>
  </si>
  <si>
    <t>Medellín</t>
  </si>
  <si>
    <t>Barranquilla</t>
  </si>
  <si>
    <t>Cali</t>
  </si>
  <si>
    <t>Cartagena</t>
  </si>
  <si>
    <t>Bogotá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</si>
  <si>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</si>
  <si>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</si>
  <si>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</si>
  <si>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</si>
  <si>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</si>
  <si>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</si>
  <si>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</si>
  <si>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</si>
  <si>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</si>
  <si>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</si>
  <si>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</si>
  <si>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</si>
  <si>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</si>
  <si>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</si>
  <si>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</si>
  <si>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</si>
  <si>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</si>
  <si>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</si>
  <si>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</si>
  <si>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</si>
  <si>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</si>
  <si>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</si>
  <si>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</si>
  <si>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</si>
  <si>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</si>
  <si>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</si>
  <si>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</si>
  <si>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</si>
  <si>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</si>
  <si>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</si>
  <si>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</si>
  <si>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</si>
  <si>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</si>
  <si>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</si>
  <si>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</si>
  <si>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</si>
  <si>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</si>
  <si>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</si>
  <si>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</si>
  <si>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</si>
  <si>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</si>
  <si>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</si>
  <si>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</si>
  <si>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</si>
  <si>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</si>
  <si>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</si>
  <si>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</si>
  <si>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</si>
  <si>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</si>
  <si>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</si>
  <si>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</si>
  <si>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</si>
  <si>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</si>
  <si>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</si>
  <si>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</si>
  <si>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</si>
  <si>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</si>
  <si>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</si>
  <si>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</si>
  <si>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</si>
  <si>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</si>
  <si>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A</t>
  </si>
  <si>
    <t>D</t>
  </si>
  <si>
    <t>C</t>
  </si>
  <si>
    <t>B</t>
  </si>
  <si>
    <t>Activo</t>
  </si>
  <si>
    <t>Inactivo</t>
  </si>
  <si>
    <t>NUMERO</t>
  </si>
  <si>
    <t>TEXTO</t>
  </si>
  <si>
    <t>9 COLUMNAS</t>
  </si>
  <si>
    <t>100 FILAS CON DATOS MAS ENCABEZADO</t>
  </si>
  <si>
    <t>MONEDA</t>
  </si>
  <si>
    <t xml:space="preserve">FECHA   </t>
  </si>
  <si>
    <t>Columna1</t>
  </si>
  <si>
    <t>Suma</t>
  </si>
  <si>
    <t>Promedio</t>
  </si>
  <si>
    <t>Total</t>
  </si>
  <si>
    <t>Recuento</t>
  </si>
  <si>
    <t>Etiquetas de fila</t>
  </si>
  <si>
    <t>Suma de Salario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</si>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</sst>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6" formatCode="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0" fillId="0" borderId="7" xfId="0" applyBorder="1" applyAlignment="1">
      <alignment horizontal="center"/>
    </xf>
    <xf numFmtId="1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10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64" formatCode="&quot;$&quot;\ #,##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udiante" refreshedDate="45939.857560648146" createdVersion="7" refreshedVersion="7" minRefreshableVersion="3" recordCount="100" xr:uid="{3306A074-E626-4C7E-9F2C-CD23D123E1A1}">
  <cacheSource type="worksheet">
    <worksheetSource name="Tabla2"/>
  </cacheSource>
  <cacheFields count="9">
    <cacheField name="ID" numFmtId="1">
      <sharedItems containsSemiMixedTypes="0" containsString="0" containsNumber="1" containsInteger="1" minValue="1" maxValue="100"/>
    </cacheField>
    <cacheField name="Nombre" numFmtId="49">
      <sharedItems/>
    </cacheField>
    <cacheField name="Edad" numFmtId="1">
      <sharedItems containsString="0" containsBlank="1" containsNumber="1" containsInteger="1" minValue="18" maxValue="64" count="44">
        <n v="19"/>
        <n v="64"/>
        <n v="63"/>
        <n v="34"/>
        <n v="38"/>
        <n v="23"/>
        <n v="51"/>
        <n v="18"/>
        <n v="45"/>
        <n v="28"/>
        <n v="57"/>
        <n v="25"/>
        <n v="49"/>
        <n v="22"/>
        <n v="52"/>
        <n v="56"/>
        <n v="48"/>
        <n v="26"/>
        <n v="24"/>
        <n v="43"/>
        <n v="46"/>
        <n v="37"/>
        <n v="39"/>
        <n v="30"/>
        <n v="35"/>
        <m/>
        <n v="31"/>
        <n v="55"/>
        <n v="44"/>
        <n v="47"/>
        <n v="29"/>
        <n v="62"/>
        <n v="53"/>
        <n v="33"/>
        <n v="42"/>
        <n v="54"/>
        <n v="50"/>
        <n v="59"/>
        <n v="60"/>
        <n v="27"/>
        <n v="32"/>
        <n v="40"/>
        <n v="20"/>
        <n v="21"/>
      </sharedItems>
    </cacheField>
    <cacheField name="Ciudad" numFmtId="49">
      <sharedItems count="5">
        <s v="Medellín"/>
        <s v="Barranquilla"/>
        <s v="Cali"/>
        <s v="Cartagena"/>
        <s v="Bogotá"/>
      </sharedItems>
    </cacheField>
    <cacheField name="Salario" numFmtId="164">
      <sharedItems containsString="0" containsBlank="1" containsNumber="1" minValue="1562.39" maxValue="4965"/>
    </cacheField>
    <cacheField name="Fecha de Ingreso" numFmtId="14">
      <sharedItems containsSemiMixedTypes="0" containsNonDate="0" containsDate="1" containsString="0" minDate="2020-01-31T00:00:00" maxDate="2020-02-01T00:00:00"/>
    </cacheField>
    <cacheField name="Horas Trabajadas" numFmtId="1">
      <sharedItems containsString="0" containsBlank="1" containsNumber="1" containsInteger="1" minValue="21" maxValue="199"/>
    </cacheField>
    <cacheField name="Categoría" numFmtId="49">
      <sharedItems/>
    </cacheField>
    <cacheField name="Estado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Carlos"/>
    <x v="0"/>
    <x v="0"/>
    <n v="3348.98"/>
    <d v="2020-01-31T00:00:00"/>
    <n v="149"/>
    <s v="A"/>
    <s v="Activo"/>
  </r>
  <r>
    <n v="2"/>
    <s v="Ana"/>
    <x v="1"/>
    <x v="1"/>
    <n v="4132.72"/>
    <d v="2020-01-31T00:00:00"/>
    <n v="148"/>
    <s v="D"/>
    <s v="Activo"/>
  </r>
  <r>
    <n v="3"/>
    <s v="Ana"/>
    <x v="2"/>
    <x v="2"/>
    <n v="2941.21"/>
    <d v="2020-01-31T00:00:00"/>
    <n v="139"/>
    <s v="A"/>
    <s v="Inactivo"/>
  </r>
  <r>
    <n v="4"/>
    <s v="Luis"/>
    <x v="3"/>
    <x v="0"/>
    <n v="4563.3599999999997"/>
    <d v="2020-01-31T00:00:00"/>
    <n v="108"/>
    <s v="A"/>
    <s v="Activo"/>
  </r>
  <r>
    <n v="5"/>
    <s v="Jorge"/>
    <x v="4"/>
    <x v="0"/>
    <n v="3408.29"/>
    <d v="2020-01-31T00:00:00"/>
    <n v="185"/>
    <s v="D"/>
    <s v="Inactivo"/>
  </r>
  <r>
    <n v="6"/>
    <s v="Jorge"/>
    <x v="5"/>
    <x v="2"/>
    <n v="1570.91"/>
    <d v="2020-01-31T00:00:00"/>
    <n v="40"/>
    <s v="D"/>
    <s v="Inactivo"/>
  </r>
  <r>
    <n v="7"/>
    <s v="Ana"/>
    <x v="6"/>
    <x v="2"/>
    <n v="1665.25"/>
    <d v="2020-01-31T00:00:00"/>
    <n v="161"/>
    <s v="C"/>
    <s v="Inactivo"/>
  </r>
  <r>
    <n v="8"/>
    <s v="Jorge"/>
    <x v="7"/>
    <x v="0"/>
    <n v="1907.27"/>
    <d v="2020-01-31T00:00:00"/>
    <n v="61"/>
    <s v="C"/>
    <s v="Activo"/>
  </r>
  <r>
    <n v="9"/>
    <s v="Carlos"/>
    <x v="6"/>
    <x v="3"/>
    <n v="1667.94"/>
    <d v="2020-01-31T00:00:00"/>
    <n v="21"/>
    <s v="C"/>
    <s v="Inactivo"/>
  </r>
  <r>
    <n v="10"/>
    <s v="Jorge"/>
    <x v="8"/>
    <x v="0"/>
    <n v="2412.69"/>
    <d v="2020-01-31T00:00:00"/>
    <n v="146"/>
    <s v="A"/>
    <s v="Activo"/>
  </r>
  <r>
    <n v="11"/>
    <s v="Luis"/>
    <x v="9"/>
    <x v="0"/>
    <n v="3153.71"/>
    <d v="2020-01-31T00:00:00"/>
    <n v="65"/>
    <s v="D"/>
    <s v="Activo"/>
  </r>
  <r>
    <n v="12"/>
    <s v="Carlos"/>
    <x v="10"/>
    <x v="2"/>
    <n v="2854.92"/>
    <d v="2020-01-31T00:00:00"/>
    <m/>
    <s v="C"/>
    <s v="Inactivo"/>
  </r>
  <r>
    <n v="13"/>
    <s v="Jorge"/>
    <x v="11"/>
    <x v="0"/>
    <n v="4094.61"/>
    <d v="2020-01-31T00:00:00"/>
    <n v="29"/>
    <s v="B"/>
    <s v="Inactivo"/>
  </r>
  <r>
    <n v="14"/>
    <s v="Ana"/>
    <x v="12"/>
    <x v="2"/>
    <n v="3623.68"/>
    <d v="2020-01-31T00:00:00"/>
    <n v="140"/>
    <s v="A"/>
    <s v="Activo"/>
  </r>
  <r>
    <n v="15"/>
    <s v="María"/>
    <x v="7"/>
    <x v="3"/>
    <n v="2098.2600000000002"/>
    <d v="2020-01-31T00:00:00"/>
    <n v="120"/>
    <s v="C"/>
    <s v="Activo"/>
  </r>
  <r>
    <n v="16"/>
    <s v="Luis"/>
    <x v="13"/>
    <x v="0"/>
    <n v="1674.57"/>
    <d v="2020-01-31T00:00:00"/>
    <n v="59"/>
    <s v="A"/>
    <s v="Inactivo"/>
  </r>
  <r>
    <n v="17"/>
    <s v="Jorge"/>
    <x v="14"/>
    <x v="4"/>
    <n v="3735.39"/>
    <d v="2020-01-31T00:00:00"/>
    <n v="195"/>
    <s v="B"/>
    <s v="Inactivo"/>
  </r>
  <r>
    <n v="18"/>
    <s v="Jorge"/>
    <x v="15"/>
    <x v="0"/>
    <n v="2780.52"/>
    <d v="2020-01-31T00:00:00"/>
    <n v="169"/>
    <s v="A"/>
    <s v="Activo"/>
  </r>
  <r>
    <n v="19"/>
    <s v="Carlos"/>
    <x v="16"/>
    <x v="4"/>
    <n v="3502.9"/>
    <d v="2020-01-31T00:00:00"/>
    <n v="74"/>
    <s v="D"/>
    <s v="Inactivo"/>
  </r>
  <r>
    <n v="20"/>
    <s v="Luis"/>
    <x v="0"/>
    <x v="1"/>
    <n v="1668.24"/>
    <d v="2020-01-31T00:00:00"/>
    <n v="148"/>
    <s v="C"/>
    <s v="Activo"/>
  </r>
  <r>
    <n v="21"/>
    <s v="Ana"/>
    <x v="17"/>
    <x v="4"/>
    <n v="3163.59"/>
    <d v="2020-01-31T00:00:00"/>
    <n v="39"/>
    <s v="A"/>
    <s v="Inactivo"/>
  </r>
  <r>
    <n v="22"/>
    <s v="Carlos"/>
    <x v="18"/>
    <x v="4"/>
    <n v="1994.26"/>
    <d v="2020-01-31T00:00:00"/>
    <n v="49"/>
    <s v="A"/>
    <s v="Inactivo"/>
  </r>
  <r>
    <n v="23"/>
    <s v="María"/>
    <x v="19"/>
    <x v="4"/>
    <n v="4801.53"/>
    <d v="2020-01-31T00:00:00"/>
    <n v="45"/>
    <s v="C"/>
    <s v="Activo"/>
  </r>
  <r>
    <n v="24"/>
    <s v="Luis"/>
    <x v="20"/>
    <x v="2"/>
    <n v="2640.66"/>
    <d v="2020-01-31T00:00:00"/>
    <n v="94"/>
    <s v="C"/>
    <s v="Inactivo"/>
  </r>
  <r>
    <n v="25"/>
    <s v="Luis"/>
    <x v="21"/>
    <x v="0"/>
    <n v="3518.04"/>
    <d v="2020-01-31T00:00:00"/>
    <n v="121"/>
    <s v="A"/>
    <s v="Activo"/>
  </r>
  <r>
    <n v="26"/>
    <s v="María"/>
    <x v="22"/>
    <x v="0"/>
    <n v="2122.2600000000002"/>
    <d v="2020-01-31T00:00:00"/>
    <n v="199"/>
    <s v="C"/>
    <s v="Inactivo"/>
  </r>
  <r>
    <n v="27"/>
    <s v="Luis"/>
    <x v="23"/>
    <x v="3"/>
    <n v="2206.5700000000002"/>
    <d v="2020-01-31T00:00:00"/>
    <n v="197"/>
    <s v="A"/>
    <s v="Inactivo"/>
  </r>
  <r>
    <n v="28"/>
    <s v="Luis"/>
    <x v="24"/>
    <x v="0"/>
    <n v="2840.16"/>
    <d v="2020-01-31T00:00:00"/>
    <n v="157"/>
    <s v="B"/>
    <s v="Inactivo"/>
  </r>
  <r>
    <n v="29"/>
    <s v="Luis"/>
    <x v="25"/>
    <x v="2"/>
    <n v="3518.85"/>
    <d v="2020-01-31T00:00:00"/>
    <n v="70"/>
    <s v="B"/>
    <s v="Activo"/>
  </r>
  <r>
    <n v="30"/>
    <s v="Carlos"/>
    <x v="26"/>
    <x v="4"/>
    <n v="3905.43"/>
    <d v="2020-01-31T00:00:00"/>
    <n v="87"/>
    <s v="A"/>
    <s v="Activo"/>
  </r>
  <r>
    <n v="31"/>
    <s v="María"/>
    <x v="27"/>
    <x v="4"/>
    <n v="1893.35"/>
    <d v="2020-01-31T00:00:00"/>
    <n v="71"/>
    <s v="C"/>
    <s v="Inactivo"/>
  </r>
  <r>
    <n v="32"/>
    <s v="Ana"/>
    <x v="17"/>
    <x v="4"/>
    <n v="4817.01"/>
    <d v="2020-01-31T00:00:00"/>
    <n v="198"/>
    <s v="D"/>
    <s v="Activo"/>
  </r>
  <r>
    <n v="33"/>
    <s v="Luis"/>
    <x v="11"/>
    <x v="4"/>
    <n v="3263.76"/>
    <d v="2020-01-31T00:00:00"/>
    <n v="59"/>
    <s v="D"/>
    <s v="Inactivo"/>
  </r>
  <r>
    <n v="34"/>
    <s v="Carlos"/>
    <x v="28"/>
    <x v="3"/>
    <n v="4720.62"/>
    <d v="2020-01-31T00:00:00"/>
    <n v="133"/>
    <s v="D"/>
    <s v="Inactivo"/>
  </r>
  <r>
    <n v="35"/>
    <s v="Luis"/>
    <x v="29"/>
    <x v="3"/>
    <n v="2295.0300000000002"/>
    <d v="2020-01-31T00:00:00"/>
    <n v="43"/>
    <s v="C"/>
    <s v="Activo"/>
  </r>
  <r>
    <n v="36"/>
    <s v="Jorge"/>
    <x v="10"/>
    <x v="2"/>
    <n v="1679.19"/>
    <d v="2020-01-31T00:00:00"/>
    <n v="39"/>
    <s v="C"/>
    <s v="Inactivo"/>
  </r>
  <r>
    <n v="37"/>
    <s v="Luis"/>
    <x v="14"/>
    <x v="1"/>
    <n v="4965"/>
    <d v="2020-01-31T00:00:00"/>
    <n v="181"/>
    <s v="A"/>
    <s v="Activo"/>
  </r>
  <r>
    <n v="38"/>
    <s v="Jorge"/>
    <x v="30"/>
    <x v="0"/>
    <n v="2249.7800000000002"/>
    <d v="2020-01-31T00:00:00"/>
    <n v="157"/>
    <s v="B"/>
    <s v="Inactivo"/>
  </r>
  <r>
    <n v="39"/>
    <s v="Jorge"/>
    <x v="29"/>
    <x v="2"/>
    <n v="2922.24"/>
    <d v="2020-01-31T00:00:00"/>
    <n v="177"/>
    <s v="B"/>
    <s v="Activo"/>
  </r>
  <r>
    <n v="40"/>
    <s v="Carlos"/>
    <x v="31"/>
    <x v="2"/>
    <m/>
    <d v="2020-01-31T00:00:00"/>
    <n v="83"/>
    <s v="C"/>
    <s v="Activo"/>
  </r>
  <r>
    <n v="41"/>
    <s v="Carlos"/>
    <x v="12"/>
    <x v="2"/>
    <n v="4746.34"/>
    <d v="2020-01-31T00:00:00"/>
    <n v="84"/>
    <s v="C"/>
    <s v="Activo"/>
  </r>
  <r>
    <n v="42"/>
    <s v="Carlos"/>
    <x v="14"/>
    <x v="1"/>
    <n v="4118.12"/>
    <d v="2020-01-31T00:00:00"/>
    <n v="61"/>
    <s v="C"/>
    <s v="Activo"/>
  </r>
  <r>
    <n v="43"/>
    <s v="María"/>
    <x v="32"/>
    <x v="0"/>
    <n v="4424.3599999999997"/>
    <d v="2020-01-31T00:00:00"/>
    <n v="109"/>
    <s v="D"/>
    <s v="Inactivo"/>
  </r>
  <r>
    <n v="44"/>
    <s v="Ana"/>
    <x v="8"/>
    <x v="0"/>
    <n v="2180.58"/>
    <d v="2020-01-31T00:00:00"/>
    <n v="39"/>
    <s v="D"/>
    <s v="Activo"/>
  </r>
  <r>
    <n v="45"/>
    <s v="María"/>
    <x v="10"/>
    <x v="0"/>
    <n v="4407.28"/>
    <d v="2020-01-31T00:00:00"/>
    <n v="140"/>
    <s v="C"/>
    <s v="Activo"/>
  </r>
  <r>
    <n v="46"/>
    <s v="Jorge"/>
    <x v="19"/>
    <x v="0"/>
    <n v="2960.08"/>
    <d v="2020-01-31T00:00:00"/>
    <n v="78"/>
    <s v="A"/>
    <s v="Inactivo"/>
  </r>
  <r>
    <n v="47"/>
    <s v="Ana"/>
    <x v="16"/>
    <x v="3"/>
    <n v="3915.26"/>
    <d v="2020-01-31T00:00:00"/>
    <n v="29"/>
    <s v="C"/>
    <s v="Inactivo"/>
  </r>
  <r>
    <n v="48"/>
    <s v="María"/>
    <x v="0"/>
    <x v="4"/>
    <n v="2235.94"/>
    <d v="2020-01-31T00:00:00"/>
    <n v="170"/>
    <s v="D"/>
    <s v="Inactivo"/>
  </r>
  <r>
    <n v="49"/>
    <s v="Luis"/>
    <x v="24"/>
    <x v="2"/>
    <n v="4161.1099999999997"/>
    <d v="2020-01-31T00:00:00"/>
    <n v="174"/>
    <s v="B"/>
    <s v="Activo"/>
  </r>
  <r>
    <n v="50"/>
    <s v="María"/>
    <x v="26"/>
    <x v="2"/>
    <n v="2652.67"/>
    <d v="2020-01-31T00:00:00"/>
    <n v="72"/>
    <s v="B"/>
    <s v="Inactivo"/>
  </r>
  <r>
    <n v="51"/>
    <s v="Luis"/>
    <x v="28"/>
    <x v="4"/>
    <n v="2123.8000000000002"/>
    <d v="2020-01-31T00:00:00"/>
    <n v="178"/>
    <s v="D"/>
    <s v="Activo"/>
  </r>
  <r>
    <n v="52"/>
    <s v="Jorge"/>
    <x v="33"/>
    <x v="0"/>
    <n v="3423.13"/>
    <d v="2020-01-31T00:00:00"/>
    <n v="113"/>
    <s v="D"/>
    <s v="Activo"/>
  </r>
  <r>
    <n v="53"/>
    <s v="Luis"/>
    <x v="22"/>
    <x v="4"/>
    <n v="4367.6400000000003"/>
    <d v="2020-01-31T00:00:00"/>
    <n v="62"/>
    <s v="D"/>
    <s v="Inactivo"/>
  </r>
  <r>
    <n v="54"/>
    <s v="Ana"/>
    <x v="6"/>
    <x v="1"/>
    <n v="2718.98"/>
    <d v="2020-01-31T00:00:00"/>
    <n v="69"/>
    <s v="C"/>
    <s v="Activo"/>
  </r>
  <r>
    <n v="55"/>
    <s v="Jorge"/>
    <x v="34"/>
    <x v="4"/>
    <n v="4048.83"/>
    <d v="2020-01-31T00:00:00"/>
    <n v="84"/>
    <s v="D"/>
    <s v="Inactivo"/>
  </r>
  <r>
    <n v="56"/>
    <s v="María"/>
    <x v="35"/>
    <x v="3"/>
    <n v="2832.46"/>
    <d v="2020-01-31T00:00:00"/>
    <n v="119"/>
    <s v="D"/>
    <s v="Inactivo"/>
  </r>
  <r>
    <n v="57"/>
    <s v="María"/>
    <x v="32"/>
    <x v="3"/>
    <n v="1600.54"/>
    <d v="2020-01-31T00:00:00"/>
    <n v="87"/>
    <s v="C"/>
    <s v="Inactivo"/>
  </r>
  <r>
    <n v="58"/>
    <s v="Luis"/>
    <x v="36"/>
    <x v="4"/>
    <n v="1930.06"/>
    <d v="2020-01-31T00:00:00"/>
    <n v="88"/>
    <s v="A"/>
    <s v="Inactivo"/>
  </r>
  <r>
    <n v="59"/>
    <s v="Luis"/>
    <x v="21"/>
    <x v="4"/>
    <n v="2279.9899999999998"/>
    <d v="2020-01-31T00:00:00"/>
    <m/>
    <s v="C"/>
    <s v="Activo"/>
  </r>
  <r>
    <n v="60"/>
    <s v="Ana"/>
    <x v="26"/>
    <x v="4"/>
    <n v="1880.81"/>
    <d v="2020-01-31T00:00:00"/>
    <n v="74"/>
    <s v="C"/>
    <s v="Inactivo"/>
  </r>
  <r>
    <n v="61"/>
    <s v="Ana"/>
    <x v="36"/>
    <x v="4"/>
    <n v="3640.41"/>
    <d v="2020-01-31T00:00:00"/>
    <n v="172"/>
    <s v="C"/>
    <s v="Activo"/>
  </r>
  <r>
    <n v="62"/>
    <s v="Jorge"/>
    <x v="17"/>
    <x v="4"/>
    <n v="3092.08"/>
    <d v="2020-01-31T00:00:00"/>
    <n v="163"/>
    <s v="C"/>
    <s v="Inactivo"/>
  </r>
  <r>
    <n v="63"/>
    <s v="Jorge"/>
    <x v="14"/>
    <x v="4"/>
    <m/>
    <d v="2020-01-31T00:00:00"/>
    <n v="98"/>
    <s v="C"/>
    <s v="Activo"/>
  </r>
  <r>
    <n v="64"/>
    <s v="María"/>
    <x v="16"/>
    <x v="0"/>
    <n v="2330.33"/>
    <d v="2020-01-31T00:00:00"/>
    <n v="86"/>
    <s v="D"/>
    <s v="Activo"/>
  </r>
  <r>
    <n v="65"/>
    <s v="Luis"/>
    <x v="37"/>
    <x v="2"/>
    <n v="2006.06"/>
    <d v="2020-01-31T00:00:00"/>
    <n v="59"/>
    <s v="C"/>
    <s v="Activo"/>
  </r>
  <r>
    <n v="66"/>
    <s v="María"/>
    <x v="36"/>
    <x v="2"/>
    <n v="2188.89"/>
    <d v="2020-01-31T00:00:00"/>
    <n v="26"/>
    <s v="D"/>
    <s v="Activo"/>
  </r>
  <r>
    <n v="67"/>
    <s v="Luis"/>
    <x v="30"/>
    <x v="1"/>
    <n v="2088.23"/>
    <d v="2020-01-31T00:00:00"/>
    <n v="137"/>
    <s v="A"/>
    <s v="Activo"/>
  </r>
  <r>
    <n v="68"/>
    <s v="María"/>
    <x v="38"/>
    <x v="0"/>
    <n v="3676.33"/>
    <d v="2020-01-31T00:00:00"/>
    <n v="35"/>
    <s v="A"/>
    <s v="Activo"/>
  </r>
  <r>
    <n v="69"/>
    <s v="María"/>
    <x v="15"/>
    <x v="3"/>
    <n v="2485.64"/>
    <d v="2020-01-31T00:00:00"/>
    <n v="158"/>
    <s v="C"/>
    <s v="Inactivo"/>
  </r>
  <r>
    <n v="70"/>
    <s v="Luis"/>
    <x v="33"/>
    <x v="0"/>
    <n v="2096.34"/>
    <d v="2020-01-31T00:00:00"/>
    <n v="134"/>
    <s v="D"/>
    <s v="Activo"/>
  </r>
  <r>
    <n v="71"/>
    <s v="Ana"/>
    <x v="3"/>
    <x v="0"/>
    <n v="2773.44"/>
    <d v="2020-01-31T00:00:00"/>
    <n v="44"/>
    <s v="A"/>
    <s v="Inactivo"/>
  </r>
  <r>
    <n v="72"/>
    <s v="María"/>
    <x v="3"/>
    <x v="3"/>
    <n v="4056.13"/>
    <d v="2020-01-31T00:00:00"/>
    <n v="103"/>
    <s v="A"/>
    <s v="Inactivo"/>
  </r>
  <r>
    <n v="73"/>
    <s v="María"/>
    <x v="2"/>
    <x v="1"/>
    <n v="2605.59"/>
    <d v="2020-01-31T00:00:00"/>
    <n v="137"/>
    <s v="D"/>
    <s v="Inactivo"/>
  </r>
  <r>
    <n v="74"/>
    <s v="Jorge"/>
    <x v="39"/>
    <x v="1"/>
    <n v="4199.9399999999996"/>
    <d v="2020-01-31T00:00:00"/>
    <n v="89"/>
    <s v="A"/>
    <s v="Inactivo"/>
  </r>
  <r>
    <n v="75"/>
    <s v="Jorge"/>
    <x v="18"/>
    <x v="4"/>
    <n v="4018.51"/>
    <d v="2020-01-31T00:00:00"/>
    <n v="63"/>
    <s v="C"/>
    <s v="Activo"/>
  </r>
  <r>
    <n v="76"/>
    <s v="Carlos"/>
    <x v="23"/>
    <x v="0"/>
    <n v="2698.24"/>
    <d v="2020-01-31T00:00:00"/>
    <n v="159"/>
    <s v="B"/>
    <s v="Activo"/>
  </r>
  <r>
    <n v="77"/>
    <s v="María"/>
    <x v="18"/>
    <x v="1"/>
    <n v="3266.74"/>
    <d v="2020-01-31T00:00:00"/>
    <n v="61"/>
    <s v="B"/>
    <s v="Inactivo"/>
  </r>
  <r>
    <n v="78"/>
    <s v="María"/>
    <x v="5"/>
    <x v="4"/>
    <n v="2336.83"/>
    <d v="2020-01-31T00:00:00"/>
    <n v="183"/>
    <s v="D"/>
    <s v="Activo"/>
  </r>
  <r>
    <n v="79"/>
    <s v="Luis"/>
    <x v="23"/>
    <x v="3"/>
    <n v="2248.6"/>
    <d v="2020-01-31T00:00:00"/>
    <n v="113"/>
    <s v="B"/>
    <s v="Inactivo"/>
  </r>
  <r>
    <n v="80"/>
    <s v="Jorge"/>
    <x v="12"/>
    <x v="3"/>
    <n v="3867.36"/>
    <d v="2020-01-31T00:00:00"/>
    <n v="136"/>
    <s v="B"/>
    <s v="Inactivo"/>
  </r>
  <r>
    <n v="81"/>
    <s v="María"/>
    <x v="14"/>
    <x v="1"/>
    <n v="3502.36"/>
    <d v="2020-01-31T00:00:00"/>
    <n v="164"/>
    <s v="D"/>
    <s v="Activo"/>
  </r>
  <r>
    <n v="82"/>
    <s v="Jorge"/>
    <x v="40"/>
    <x v="4"/>
    <n v="4476.16"/>
    <d v="2020-01-31T00:00:00"/>
    <n v="126"/>
    <s v="D"/>
    <s v="Activo"/>
  </r>
  <r>
    <n v="83"/>
    <s v="Carlos"/>
    <x v="41"/>
    <x v="1"/>
    <n v="1843.27"/>
    <d v="2020-01-31T00:00:00"/>
    <n v="43"/>
    <s v="C"/>
    <s v="Activo"/>
  </r>
  <r>
    <n v="84"/>
    <s v="Ana"/>
    <x v="42"/>
    <x v="1"/>
    <n v="4417.3900000000003"/>
    <d v="2020-01-31T00:00:00"/>
    <n v="197"/>
    <s v="D"/>
    <s v="Activo"/>
  </r>
  <r>
    <n v="85"/>
    <s v="Luis"/>
    <x v="20"/>
    <x v="1"/>
    <n v="2112.16"/>
    <d v="2020-01-31T00:00:00"/>
    <n v="103"/>
    <s v="D"/>
    <s v="Activo"/>
  </r>
  <r>
    <n v="86"/>
    <s v="Carlos"/>
    <x v="33"/>
    <x v="3"/>
    <n v="4590.47"/>
    <d v="2020-01-31T00:00:00"/>
    <n v="28"/>
    <s v="A"/>
    <s v="Activo"/>
  </r>
  <r>
    <n v="87"/>
    <s v="Jorge"/>
    <x v="8"/>
    <x v="1"/>
    <n v="4803.0200000000004"/>
    <d v="2020-01-31T00:00:00"/>
    <n v="23"/>
    <s v="B"/>
    <s v="Activo"/>
  </r>
  <r>
    <n v="88"/>
    <s v="María"/>
    <x v="22"/>
    <x v="1"/>
    <n v="2735.1"/>
    <d v="2020-01-31T00:00:00"/>
    <n v="149"/>
    <s v="C"/>
    <s v="Activo"/>
  </r>
  <r>
    <n v="89"/>
    <s v="María"/>
    <x v="10"/>
    <x v="4"/>
    <n v="4121.71"/>
    <d v="2020-01-31T00:00:00"/>
    <n v="102"/>
    <s v="D"/>
    <s v="Activo"/>
  </r>
  <r>
    <n v="90"/>
    <s v="María"/>
    <x v="16"/>
    <x v="3"/>
    <n v="3694.21"/>
    <d v="2020-01-31T00:00:00"/>
    <n v="158"/>
    <s v="A"/>
    <s v="Activo"/>
  </r>
  <r>
    <n v="91"/>
    <s v="Luis"/>
    <x v="25"/>
    <x v="2"/>
    <n v="2687.75"/>
    <d v="2020-01-31T00:00:00"/>
    <n v="198"/>
    <s v="A"/>
    <s v="Inactivo"/>
  </r>
  <r>
    <n v="92"/>
    <s v="María"/>
    <x v="33"/>
    <x v="4"/>
    <n v="3484.82"/>
    <d v="2020-01-31T00:00:00"/>
    <n v="92"/>
    <s v="A"/>
    <s v="Inactivo"/>
  </r>
  <r>
    <n v="93"/>
    <s v="Luis"/>
    <x v="43"/>
    <x v="2"/>
    <n v="3907.01"/>
    <d v="2020-01-31T00:00:00"/>
    <n v="28"/>
    <s v="A"/>
    <s v="Activo"/>
  </r>
  <r>
    <n v="94"/>
    <s v="Carlos"/>
    <x v="18"/>
    <x v="4"/>
    <n v="3663.35"/>
    <d v="2020-01-31T00:00:00"/>
    <n v="84"/>
    <s v="D"/>
    <s v="Inactivo"/>
  </r>
  <r>
    <n v="95"/>
    <s v="María"/>
    <x v="22"/>
    <x v="4"/>
    <n v="2718.57"/>
    <d v="2020-01-31T00:00:00"/>
    <n v="178"/>
    <s v="A"/>
    <s v="Activo"/>
  </r>
  <r>
    <n v="96"/>
    <s v="Jorge"/>
    <x v="6"/>
    <x v="1"/>
    <n v="4704.1400000000003"/>
    <d v="2020-01-31T00:00:00"/>
    <n v="147"/>
    <s v="C"/>
    <s v="Inactivo"/>
  </r>
  <r>
    <n v="97"/>
    <s v="Carlos"/>
    <x v="33"/>
    <x v="3"/>
    <n v="3531.2"/>
    <d v="2020-01-31T00:00:00"/>
    <n v="197"/>
    <s v="D"/>
    <s v="Inactivo"/>
  </r>
  <r>
    <n v="98"/>
    <s v="Carlos"/>
    <x v="16"/>
    <x v="0"/>
    <n v="1562.39"/>
    <d v="2020-01-31T00:00:00"/>
    <n v="72"/>
    <s v="D"/>
    <s v="Inactivo"/>
  </r>
  <r>
    <n v="99"/>
    <s v="Jorge"/>
    <x v="13"/>
    <x v="1"/>
    <n v="3526.27"/>
    <d v="2020-01-31T00:00:00"/>
    <n v="23"/>
    <s v="C"/>
    <s v="Inactivo"/>
  </r>
  <r>
    <n v="100"/>
    <s v="María"/>
    <x v="6"/>
    <x v="2"/>
    <n v="4208.8999999999996"/>
    <d v="2020-01-31T00:00:00"/>
    <n v="25"/>
    <s v="A"/>
    <s v="Ac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54C38-E5D0-496E-8457-AEF4315616B4}" name="TablaDinámica18" cacheId="2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/>
  <pivotFields count="9">
    <pivotField numFmtId="1" showAll="0"/>
    <pivotField showAll="0"/>
    <pivotField showAll="0">
      <items count="45">
        <item x="7"/>
        <item x="0"/>
        <item x="42"/>
        <item x="43"/>
        <item x="13"/>
        <item x="5"/>
        <item x="18"/>
        <item x="11"/>
        <item x="17"/>
        <item x="39"/>
        <item x="9"/>
        <item x="30"/>
        <item x="23"/>
        <item x="26"/>
        <item x="40"/>
        <item x="33"/>
        <item x="3"/>
        <item x="24"/>
        <item x="21"/>
        <item x="4"/>
        <item x="22"/>
        <item x="41"/>
        <item x="34"/>
        <item x="19"/>
        <item x="28"/>
        <item x="8"/>
        <item x="20"/>
        <item x="29"/>
        <item x="16"/>
        <item x="12"/>
        <item x="36"/>
        <item x="6"/>
        <item x="14"/>
        <item x="32"/>
        <item x="35"/>
        <item x="27"/>
        <item x="15"/>
        <item x="10"/>
        <item x="37"/>
        <item x="38"/>
        <item x="31"/>
        <item x="2"/>
        <item x="1"/>
        <item x="25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dataField="1" showAll="0"/>
    <pivotField numFmtId="14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Salari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6978A-1078-4516-B2C1-89F23D263422}" name="Tabla2" displayName="Tabla2" ref="A1:I102" totalsRowCount="1" headerRowDxfId="19" dataDxfId="18" headerRowBorderDxfId="20" tableBorderDxfId="21">
  <autoFilter ref="A1:I101" xr:uid="{DDD6978A-1078-4516-B2C1-89F23D263422}"/>
  <tableColumns count="9">
    <tableColumn id="1" xr3:uid="{A72288BB-CDA3-4755-9F9B-DCED3AF923E1}" name="ID" totalsRowFunction="count" dataDxfId="17" totalsRowDxfId="8"/>
    <tableColumn id="2" xr3:uid="{C029AE0B-FA8C-46D0-B9AA-F4BFED6EBC28}" name="Nombre" totalsRowFunction="count" dataDxfId="16" totalsRowDxfId="7"/>
    <tableColumn id="3" xr3:uid="{B01A991C-6C60-456C-8B39-E10C46013952}" name="Edad" totalsRowFunction="count" dataDxfId="15" totalsRowDxfId="6"/>
    <tableColumn id="4" xr3:uid="{78892CAB-241A-4010-81DB-FC5FECC35697}" name="Ciudad" totalsRowFunction="count" dataDxfId="14" totalsRowDxfId="5"/>
    <tableColumn id="5" xr3:uid="{1F86B2C4-967F-4AF5-A915-3F376B7043CB}" name="Salario" totalsRowFunction="count" dataDxfId="13" totalsRowDxfId="4"/>
    <tableColumn id="6" xr3:uid="{B0098601-F9D9-4BBE-917A-F4C3B4C7E665}" name="Fecha de Ingreso" totalsRowFunction="count" dataDxfId="12" totalsRowDxfId="3">
      <calculatedColumnFormula>DATE(2020,1,31)</calculatedColumnFormula>
    </tableColumn>
    <tableColumn id="7" xr3:uid="{8F243DC3-240C-4EE4-A3BA-0B545D4CB0F4}" name="Horas Trabajadas" totalsRowFunction="count" dataDxfId="11" totalsRowDxfId="2"/>
    <tableColumn id="8" xr3:uid="{36E8A1F9-6F3E-473C-B8B7-2883BF633170}" name="Categoría" totalsRowFunction="count" dataDxfId="10" totalsRowDxfId="1"/>
    <tableColumn id="9" xr3:uid="{32E05F6D-58A7-4CEC-9135-34146991672C}" name="Estado" totalsRowFunction="count" dataDxfId="9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B4A8-F2FF-41E5-B490-E1E7C2A62FD5}">
  <dimension ref="A3:B9"/>
  <sheetViews>
    <sheetView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15" bestFit="1" customWidth="1"/>
  </cols>
  <sheetData>
    <row r="3" spans="1:2" x14ac:dyDescent="0.25">
      <c r="A3" s="31" t="s">
        <v>97</v>
      </c>
      <c r="B3" t="s">
        <v>98</v>
      </c>
    </row>
    <row r="4" spans="1:2" x14ac:dyDescent="0.25">
      <c r="A4" s="32" t="s">
        <v>15</v>
      </c>
      <c r="B4" s="33">
        <v>57407.26999999999</v>
      </c>
    </row>
    <row r="5" spans="1:2" x14ac:dyDescent="0.25">
      <c r="A5" s="32" t="s">
        <v>18</v>
      </c>
      <c r="B5" s="33">
        <v>81496.730000000025</v>
      </c>
    </row>
    <row r="6" spans="1:2" x14ac:dyDescent="0.25">
      <c r="A6" s="32" t="s">
        <v>16</v>
      </c>
      <c r="B6" s="33">
        <v>49975.64</v>
      </c>
    </row>
    <row r="7" spans="1:2" x14ac:dyDescent="0.25">
      <c r="A7" s="32" t="s">
        <v>17</v>
      </c>
      <c r="B7" s="33">
        <v>45810.289999999994</v>
      </c>
    </row>
    <row r="8" spans="1:2" x14ac:dyDescent="0.25">
      <c r="A8" s="32" t="s">
        <v>14</v>
      </c>
      <c r="B8" s="33">
        <v>70606.74000000002</v>
      </c>
    </row>
    <row r="9" spans="1:2" x14ac:dyDescent="0.25">
      <c r="A9" s="32" t="s">
        <v>99</v>
      </c>
      <c r="B9" s="33">
        <v>305296.67000000004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topLeftCell="A106" workbookViewId="0">
      <selection activeCell="H46" sqref="H46"/>
    </sheetView>
  </sheetViews>
  <sheetFormatPr baseColWidth="10" defaultColWidth="9.140625" defaultRowHeight="15" x14ac:dyDescent="0.25"/>
  <cols>
    <col min="1" max="1" width="6.5703125" style="22" customWidth="1"/>
    <col min="2" max="2" width="10.85546875" style="23" customWidth="1"/>
    <col min="3" max="3" width="9.28515625" style="22" customWidth="1"/>
    <col min="4" max="4" width="17.7109375" style="23" customWidth="1"/>
    <col min="5" max="5" width="14.28515625" style="24" customWidth="1"/>
    <col min="6" max="6" width="18" style="25" customWidth="1"/>
    <col min="7" max="7" width="18" style="22" customWidth="1"/>
    <col min="8" max="8" width="11.5703125" style="23" customWidth="1"/>
    <col min="9" max="10" width="9.140625" style="23"/>
    <col min="17" max="17" width="16.85546875" customWidth="1"/>
    <col min="18" max="18" width="17.140625" customWidth="1"/>
    <col min="19" max="19" width="10.28515625" customWidth="1"/>
    <col min="20" max="20" width="10.5703125" customWidth="1"/>
  </cols>
  <sheetData>
    <row r="1" spans="1:20" x14ac:dyDescent="0.25">
      <c r="A1" s="18" t="s">
        <v>0</v>
      </c>
      <c r="B1" s="19" t="s">
        <v>1</v>
      </c>
      <c r="C1" s="18" t="s">
        <v>2</v>
      </c>
      <c r="D1" s="19" t="s">
        <v>3</v>
      </c>
      <c r="E1" s="20" t="s">
        <v>4</v>
      </c>
      <c r="F1" s="21" t="s">
        <v>5</v>
      </c>
      <c r="G1" s="18" t="s">
        <v>6</v>
      </c>
      <c r="H1" s="19" t="s">
        <v>7</v>
      </c>
      <c r="I1" s="19" t="s">
        <v>8</v>
      </c>
      <c r="J1" s="30"/>
    </row>
    <row r="2" spans="1:20" x14ac:dyDescent="0.25">
      <c r="A2" s="22">
        <v>1</v>
      </c>
      <c r="B2" s="23" t="s">
        <v>9</v>
      </c>
      <c r="C2" s="22">
        <v>19</v>
      </c>
      <c r="D2" s="23" t="s">
        <v>14</v>
      </c>
      <c r="E2" s="24">
        <v>3348.98</v>
      </c>
      <c r="F2" s="25">
        <f>DATE(2020,1,31)</f>
        <v>43861</v>
      </c>
      <c r="G2" s="22">
        <v>149</v>
      </c>
      <c r="H2" s="23" t="s">
        <v>80</v>
      </c>
      <c r="I2" s="23" t="s">
        <v>84</v>
      </c>
    </row>
    <row r="3" spans="1:20" x14ac:dyDescent="0.25">
      <c r="A3" s="22">
        <v>2</v>
      </c>
      <c r="B3" s="23" t="s">
        <v>10</v>
      </c>
      <c r="C3" s="22">
        <v>64</v>
      </c>
      <c r="D3" s="23" t="s">
        <v>15</v>
      </c>
      <c r="E3" s="24">
        <v>4132.72</v>
      </c>
      <c r="F3" s="25">
        <f t="shared" ref="F3:F66" si="0">DATE(2020,1,31)</f>
        <v>43861</v>
      </c>
      <c r="G3" s="22">
        <v>148</v>
      </c>
      <c r="H3" s="23" t="s">
        <v>81</v>
      </c>
      <c r="I3" s="23" t="s">
        <v>84</v>
      </c>
    </row>
    <row r="4" spans="1:20" x14ac:dyDescent="0.25">
      <c r="A4" s="22">
        <v>3</v>
      </c>
      <c r="B4" s="23" t="s">
        <v>10</v>
      </c>
      <c r="C4" s="22">
        <v>63</v>
      </c>
      <c r="D4" s="23" t="s">
        <v>16</v>
      </c>
      <c r="E4" s="24">
        <v>2941.21</v>
      </c>
      <c r="F4" s="25">
        <f t="shared" si="0"/>
        <v>43861</v>
      </c>
      <c r="G4" s="22">
        <v>139</v>
      </c>
      <c r="H4" s="23" t="s">
        <v>80</v>
      </c>
      <c r="I4" s="23" t="s">
        <v>85</v>
      </c>
    </row>
    <row r="5" spans="1:20" x14ac:dyDescent="0.25">
      <c r="A5" s="22">
        <v>4</v>
      </c>
      <c r="B5" s="23" t="s">
        <v>11</v>
      </c>
      <c r="C5" s="22">
        <v>34</v>
      </c>
      <c r="D5" s="23" t="s">
        <v>14</v>
      </c>
      <c r="E5" s="24">
        <v>4563.3599999999997</v>
      </c>
      <c r="F5" s="25">
        <f t="shared" si="0"/>
        <v>43861</v>
      </c>
      <c r="G5" s="22">
        <v>108</v>
      </c>
      <c r="H5" s="23" t="s">
        <v>80</v>
      </c>
      <c r="I5" s="23" t="s">
        <v>84</v>
      </c>
      <c r="L5" s="3"/>
      <c r="M5" s="3"/>
      <c r="N5" s="3"/>
      <c r="O5" s="3"/>
      <c r="P5" s="3"/>
      <c r="Q5" s="3"/>
      <c r="R5" s="3"/>
    </row>
    <row r="6" spans="1:20" x14ac:dyDescent="0.25">
      <c r="A6" s="22">
        <v>5</v>
      </c>
      <c r="B6" s="23" t="s">
        <v>12</v>
      </c>
      <c r="C6" s="22">
        <v>38</v>
      </c>
      <c r="D6" s="23" t="s">
        <v>14</v>
      </c>
      <c r="E6" s="24">
        <v>3408.29</v>
      </c>
      <c r="F6" s="25">
        <f t="shared" si="0"/>
        <v>43861</v>
      </c>
      <c r="G6" s="22">
        <v>185</v>
      </c>
      <c r="H6" s="23" t="s">
        <v>81</v>
      </c>
      <c r="I6" s="23" t="s">
        <v>85</v>
      </c>
      <c r="L6" s="3"/>
      <c r="M6" s="3"/>
      <c r="N6" s="3"/>
      <c r="O6" s="3"/>
      <c r="P6" s="3"/>
      <c r="Q6" s="3"/>
      <c r="R6" s="3"/>
    </row>
    <row r="7" spans="1:20" x14ac:dyDescent="0.25">
      <c r="A7" s="22">
        <v>6</v>
      </c>
      <c r="B7" s="23" t="s">
        <v>12</v>
      </c>
      <c r="C7" s="22">
        <v>23</v>
      </c>
      <c r="D7" s="23" t="s">
        <v>16</v>
      </c>
      <c r="E7" s="24">
        <v>1570.91</v>
      </c>
      <c r="F7" s="25">
        <f t="shared" si="0"/>
        <v>43861</v>
      </c>
      <c r="G7" s="22">
        <v>40</v>
      </c>
      <c r="H7" s="23" t="s">
        <v>81</v>
      </c>
      <c r="I7" s="23" t="s">
        <v>85</v>
      </c>
      <c r="L7" s="4"/>
      <c r="M7" s="4"/>
      <c r="N7" s="4"/>
      <c r="O7" s="4"/>
      <c r="P7" s="4"/>
      <c r="Q7" s="4"/>
      <c r="R7" s="4"/>
    </row>
    <row r="8" spans="1:20" x14ac:dyDescent="0.25">
      <c r="A8" s="22">
        <v>7</v>
      </c>
      <c r="B8" s="23" t="s">
        <v>10</v>
      </c>
      <c r="C8" s="22">
        <v>51</v>
      </c>
      <c r="D8" s="23" t="s">
        <v>16</v>
      </c>
      <c r="E8" s="24">
        <v>1665.25</v>
      </c>
      <c r="F8" s="25">
        <f t="shared" si="0"/>
        <v>43861</v>
      </c>
      <c r="G8" s="22">
        <v>161</v>
      </c>
      <c r="H8" s="23" t="s">
        <v>82</v>
      </c>
      <c r="I8" s="23" t="s">
        <v>85</v>
      </c>
      <c r="L8" s="3" t="s">
        <v>89</v>
      </c>
      <c r="M8" s="3"/>
      <c r="N8" s="3"/>
      <c r="O8" s="3"/>
      <c r="P8" s="3"/>
      <c r="Q8" s="3"/>
      <c r="R8" s="3"/>
      <c r="S8" s="3"/>
      <c r="T8" s="3"/>
    </row>
    <row r="9" spans="1:20" ht="15.75" thickBot="1" x14ac:dyDescent="0.3">
      <c r="A9" s="22">
        <v>8</v>
      </c>
      <c r="B9" s="23" t="s">
        <v>12</v>
      </c>
      <c r="C9" s="22">
        <v>18</v>
      </c>
      <c r="D9" s="23" t="s">
        <v>14</v>
      </c>
      <c r="E9" s="24">
        <v>1907.27</v>
      </c>
      <c r="F9" s="25">
        <f t="shared" si="0"/>
        <v>43861</v>
      </c>
      <c r="G9" s="22">
        <v>61</v>
      </c>
      <c r="H9" s="23" t="s">
        <v>82</v>
      </c>
      <c r="I9" s="23" t="s">
        <v>84</v>
      </c>
      <c r="L9" s="17" t="s">
        <v>88</v>
      </c>
      <c r="M9" s="17"/>
      <c r="N9" s="17"/>
      <c r="O9" s="17"/>
      <c r="P9" s="17"/>
      <c r="Q9" s="17"/>
      <c r="R9" s="17"/>
      <c r="S9" s="17"/>
      <c r="T9" s="17"/>
    </row>
    <row r="10" spans="1:20" ht="15.75" thickBot="1" x14ac:dyDescent="0.3">
      <c r="A10" s="22">
        <v>9</v>
      </c>
      <c r="B10" s="23" t="s">
        <v>9</v>
      </c>
      <c r="C10" s="22">
        <v>51</v>
      </c>
      <c r="D10" s="23" t="s">
        <v>17</v>
      </c>
      <c r="E10" s="24">
        <v>1667.94</v>
      </c>
      <c r="F10" s="25">
        <f t="shared" si="0"/>
        <v>43861</v>
      </c>
      <c r="G10" s="22">
        <v>21</v>
      </c>
      <c r="H10" s="23" t="s">
        <v>82</v>
      </c>
      <c r="I10" s="23" t="s">
        <v>85</v>
      </c>
      <c r="L10" s="13" t="s">
        <v>0</v>
      </c>
      <c r="M10" s="14" t="s">
        <v>1</v>
      </c>
      <c r="N10" s="15" t="s">
        <v>2</v>
      </c>
      <c r="O10" s="14" t="s">
        <v>3</v>
      </c>
      <c r="P10" s="15" t="s">
        <v>4</v>
      </c>
      <c r="Q10" s="14" t="s">
        <v>5</v>
      </c>
      <c r="R10" s="15" t="s">
        <v>6</v>
      </c>
      <c r="S10" s="14" t="s">
        <v>7</v>
      </c>
      <c r="T10" s="16" t="s">
        <v>8</v>
      </c>
    </row>
    <row r="11" spans="1:20" ht="15.75" thickBot="1" x14ac:dyDescent="0.3">
      <c r="A11" s="22">
        <v>10</v>
      </c>
      <c r="B11" s="23" t="s">
        <v>12</v>
      </c>
      <c r="C11" s="22">
        <v>45</v>
      </c>
      <c r="D11" s="23" t="s">
        <v>14</v>
      </c>
      <c r="E11" s="24">
        <v>2412.69</v>
      </c>
      <c r="F11" s="25">
        <f t="shared" si="0"/>
        <v>43861</v>
      </c>
      <c r="G11" s="22">
        <v>146</v>
      </c>
      <c r="H11" s="23" t="s">
        <v>80</v>
      </c>
      <c r="I11" s="23" t="s">
        <v>84</v>
      </c>
      <c r="L11" t="s">
        <v>86</v>
      </c>
      <c r="M11" t="s">
        <v>87</v>
      </c>
      <c r="N11" t="s">
        <v>86</v>
      </c>
      <c r="O11" t="s">
        <v>87</v>
      </c>
      <c r="P11" t="s">
        <v>90</v>
      </c>
      <c r="Q11" t="s">
        <v>91</v>
      </c>
      <c r="R11" t="s">
        <v>86</v>
      </c>
      <c r="S11" t="s">
        <v>87</v>
      </c>
      <c r="T11" t="s">
        <v>87</v>
      </c>
    </row>
    <row r="12" spans="1:20" ht="15.75" thickTop="1" x14ac:dyDescent="0.25">
      <c r="A12" s="22">
        <v>11</v>
      </c>
      <c r="B12" s="23" t="s">
        <v>11</v>
      </c>
      <c r="C12" s="22">
        <v>28</v>
      </c>
      <c r="D12" s="23" t="s">
        <v>14</v>
      </c>
      <c r="E12" s="24">
        <v>3153.71</v>
      </c>
      <c r="F12" s="25">
        <f t="shared" si="0"/>
        <v>43861</v>
      </c>
      <c r="G12" s="22">
        <v>65</v>
      </c>
      <c r="H12" s="23" t="s">
        <v>81</v>
      </c>
      <c r="I12" s="23" t="s">
        <v>84</v>
      </c>
      <c r="L12" s="27">
        <f>SUBTOTAL(103,Tabla2[ID])</f>
        <v>100</v>
      </c>
      <c r="M12" s="28">
        <f>SUBTOTAL(103,Tabla2[Nombre])</f>
        <v>100</v>
      </c>
      <c r="N12" s="28">
        <f>SUBTOTAL(103,Tabla2[Edad])</f>
        <v>100</v>
      </c>
      <c r="O12" s="28">
        <f>SUBTOTAL(103,Tabla2[Ciudad])</f>
        <v>100</v>
      </c>
      <c r="P12" s="28">
        <f>SUBTOTAL(103,Tabla2[Salario])</f>
        <v>100</v>
      </c>
      <c r="Q12" s="28">
        <f>SUBTOTAL(103,Tabla2[Fecha de Ingreso])</f>
        <v>100</v>
      </c>
      <c r="R12" s="28">
        <f>SUBTOTAL(103,Tabla2[Horas Trabajadas])</f>
        <v>100</v>
      </c>
      <c r="S12" s="28">
        <f>SUBTOTAL(103,Tabla2[Categoría])</f>
        <v>100</v>
      </c>
      <c r="T12" s="29">
        <f>SUBTOTAL(103,Tabla2[Estado])</f>
        <v>100</v>
      </c>
    </row>
    <row r="13" spans="1:20" x14ac:dyDescent="0.25">
      <c r="A13" s="22">
        <v>12</v>
      </c>
      <c r="B13" s="23" t="s">
        <v>9</v>
      </c>
      <c r="C13" s="22">
        <v>57</v>
      </c>
      <c r="D13" s="23" t="s">
        <v>16</v>
      </c>
      <c r="E13" s="24">
        <v>2854.92</v>
      </c>
      <c r="F13" s="25">
        <f t="shared" si="0"/>
        <v>43861</v>
      </c>
      <c r="G13" s="22">
        <f>0</f>
        <v>0</v>
      </c>
      <c r="H13" s="23" t="s">
        <v>82</v>
      </c>
      <c r="I13" s="23" t="s">
        <v>85</v>
      </c>
    </row>
    <row r="14" spans="1:20" x14ac:dyDescent="0.25">
      <c r="A14" s="22">
        <v>13</v>
      </c>
      <c r="B14" s="23" t="s">
        <v>12</v>
      </c>
      <c r="C14" s="22">
        <v>25</v>
      </c>
      <c r="D14" s="23" t="s">
        <v>14</v>
      </c>
      <c r="E14" s="24">
        <v>4094.61</v>
      </c>
      <c r="F14" s="25">
        <f t="shared" si="0"/>
        <v>43861</v>
      </c>
      <c r="G14" s="22">
        <v>29</v>
      </c>
      <c r="H14" s="23" t="s">
        <v>83</v>
      </c>
      <c r="I14" s="23" t="s">
        <v>85</v>
      </c>
    </row>
    <row r="15" spans="1:20" x14ac:dyDescent="0.25">
      <c r="A15" s="22">
        <v>14</v>
      </c>
      <c r="B15" s="23" t="s">
        <v>10</v>
      </c>
      <c r="C15" s="22">
        <v>49</v>
      </c>
      <c r="D15" s="23" t="s">
        <v>16</v>
      </c>
      <c r="E15" s="24">
        <v>3623.68</v>
      </c>
      <c r="F15" s="25">
        <f t="shared" si="0"/>
        <v>43861</v>
      </c>
      <c r="G15" s="22">
        <v>140</v>
      </c>
      <c r="H15" s="23" t="s">
        <v>80</v>
      </c>
      <c r="I15" s="23" t="s">
        <v>84</v>
      </c>
    </row>
    <row r="16" spans="1:20" x14ac:dyDescent="0.25">
      <c r="A16" s="22">
        <v>15</v>
      </c>
      <c r="B16" s="23" t="s">
        <v>13</v>
      </c>
      <c r="C16" s="22">
        <v>18</v>
      </c>
      <c r="D16" s="23" t="s">
        <v>17</v>
      </c>
      <c r="E16" s="24">
        <v>2098.2600000000002</v>
      </c>
      <c r="F16" s="25">
        <f t="shared" si="0"/>
        <v>43861</v>
      </c>
      <c r="G16" s="22">
        <v>120</v>
      </c>
      <c r="H16" s="23" t="s">
        <v>82</v>
      </c>
      <c r="I16" s="23" t="s">
        <v>84</v>
      </c>
    </row>
    <row r="17" spans="1:9" x14ac:dyDescent="0.25">
      <c r="A17" s="22">
        <v>16</v>
      </c>
      <c r="B17" s="23" t="s">
        <v>11</v>
      </c>
      <c r="C17" s="22">
        <v>22</v>
      </c>
      <c r="D17" s="23" t="s">
        <v>14</v>
      </c>
      <c r="E17" s="24">
        <v>1674.57</v>
      </c>
      <c r="F17" s="25">
        <f t="shared" si="0"/>
        <v>43861</v>
      </c>
      <c r="G17" s="22">
        <v>59</v>
      </c>
      <c r="H17" s="23" t="s">
        <v>80</v>
      </c>
      <c r="I17" s="23" t="s">
        <v>85</v>
      </c>
    </row>
    <row r="18" spans="1:9" x14ac:dyDescent="0.25">
      <c r="A18" s="22">
        <v>17</v>
      </c>
      <c r="B18" s="23" t="s">
        <v>12</v>
      </c>
      <c r="C18" s="22">
        <v>52</v>
      </c>
      <c r="D18" s="23" t="s">
        <v>18</v>
      </c>
      <c r="E18" s="24">
        <v>3735.39</v>
      </c>
      <c r="F18" s="25">
        <f t="shared" si="0"/>
        <v>43861</v>
      </c>
      <c r="G18" s="22">
        <v>195</v>
      </c>
      <c r="H18" s="23" t="s">
        <v>83</v>
      </c>
      <c r="I18" s="23" t="s">
        <v>85</v>
      </c>
    </row>
    <row r="19" spans="1:9" x14ac:dyDescent="0.25">
      <c r="A19" s="22">
        <v>18</v>
      </c>
      <c r="B19" s="23" t="s">
        <v>12</v>
      </c>
      <c r="C19" s="22">
        <v>56</v>
      </c>
      <c r="D19" s="23" t="s">
        <v>14</v>
      </c>
      <c r="E19" s="24">
        <v>2780.52</v>
      </c>
      <c r="F19" s="25">
        <f t="shared" si="0"/>
        <v>43861</v>
      </c>
      <c r="G19" s="22">
        <v>169</v>
      </c>
      <c r="H19" s="23" t="s">
        <v>80</v>
      </c>
      <c r="I19" s="23" t="s">
        <v>84</v>
      </c>
    </row>
    <row r="20" spans="1:9" x14ac:dyDescent="0.25">
      <c r="A20" s="22">
        <v>19</v>
      </c>
      <c r="B20" s="23" t="s">
        <v>9</v>
      </c>
      <c r="C20" s="22">
        <v>48</v>
      </c>
      <c r="D20" s="23" t="s">
        <v>18</v>
      </c>
      <c r="E20" s="24">
        <v>3502.9</v>
      </c>
      <c r="F20" s="25">
        <f t="shared" si="0"/>
        <v>43861</v>
      </c>
      <c r="G20" s="22">
        <v>74</v>
      </c>
      <c r="H20" s="23" t="s">
        <v>81</v>
      </c>
      <c r="I20" s="23" t="s">
        <v>85</v>
      </c>
    </row>
    <row r="21" spans="1:9" x14ac:dyDescent="0.25">
      <c r="A21" s="22">
        <v>20</v>
      </c>
      <c r="B21" s="23" t="s">
        <v>11</v>
      </c>
      <c r="C21" s="22">
        <v>19</v>
      </c>
      <c r="D21" s="23" t="s">
        <v>15</v>
      </c>
      <c r="E21" s="24">
        <v>1668.24</v>
      </c>
      <c r="F21" s="25">
        <f t="shared" si="0"/>
        <v>43861</v>
      </c>
      <c r="G21" s="22">
        <v>148</v>
      </c>
      <c r="H21" s="23" t="s">
        <v>82</v>
      </c>
      <c r="I21" s="23" t="s">
        <v>84</v>
      </c>
    </row>
    <row r="22" spans="1:9" x14ac:dyDescent="0.25">
      <c r="A22" s="22">
        <v>21</v>
      </c>
      <c r="B22" s="23" t="s">
        <v>10</v>
      </c>
      <c r="C22" s="22">
        <v>26</v>
      </c>
      <c r="D22" s="23" t="s">
        <v>18</v>
      </c>
      <c r="E22" s="24">
        <v>3163.59</v>
      </c>
      <c r="F22" s="25">
        <f t="shared" si="0"/>
        <v>43861</v>
      </c>
      <c r="G22" s="22">
        <v>39</v>
      </c>
      <c r="H22" s="23" t="s">
        <v>80</v>
      </c>
      <c r="I22" s="23" t="s">
        <v>85</v>
      </c>
    </row>
    <row r="23" spans="1:9" x14ac:dyDescent="0.25">
      <c r="A23" s="22">
        <v>22</v>
      </c>
      <c r="B23" s="23" t="s">
        <v>9</v>
      </c>
      <c r="C23" s="22">
        <v>24</v>
      </c>
      <c r="D23" s="23" t="s">
        <v>18</v>
      </c>
      <c r="E23" s="24">
        <v>1994.26</v>
      </c>
      <c r="F23" s="25">
        <f t="shared" si="0"/>
        <v>43861</v>
      </c>
      <c r="G23" s="22">
        <v>49</v>
      </c>
      <c r="H23" s="23" t="s">
        <v>80</v>
      </c>
      <c r="I23" s="23" t="s">
        <v>85</v>
      </c>
    </row>
    <row r="24" spans="1:9" x14ac:dyDescent="0.25">
      <c r="A24" s="22">
        <v>23</v>
      </c>
      <c r="B24" s="23" t="s">
        <v>13</v>
      </c>
      <c r="C24" s="22">
        <v>43</v>
      </c>
      <c r="D24" s="23" t="s">
        <v>18</v>
      </c>
      <c r="E24" s="24">
        <v>4801.53</v>
      </c>
      <c r="F24" s="25">
        <f t="shared" si="0"/>
        <v>43861</v>
      </c>
      <c r="G24" s="22">
        <v>45</v>
      </c>
      <c r="H24" s="23" t="s">
        <v>82</v>
      </c>
      <c r="I24" s="23" t="s">
        <v>84</v>
      </c>
    </row>
    <row r="25" spans="1:9" x14ac:dyDescent="0.25">
      <c r="A25" s="22">
        <v>24</v>
      </c>
      <c r="B25" s="23" t="s">
        <v>11</v>
      </c>
      <c r="C25" s="22">
        <v>46</v>
      </c>
      <c r="D25" s="23" t="s">
        <v>16</v>
      </c>
      <c r="E25" s="24">
        <v>2640.66</v>
      </c>
      <c r="F25" s="25">
        <f t="shared" si="0"/>
        <v>43861</v>
      </c>
      <c r="G25" s="22">
        <v>94</v>
      </c>
      <c r="H25" s="23" t="s">
        <v>82</v>
      </c>
      <c r="I25" s="23" t="s">
        <v>85</v>
      </c>
    </row>
    <row r="26" spans="1:9" x14ac:dyDescent="0.25">
      <c r="A26" s="22">
        <v>25</v>
      </c>
      <c r="B26" s="23" t="s">
        <v>11</v>
      </c>
      <c r="C26" s="22">
        <v>37</v>
      </c>
      <c r="D26" s="23" t="s">
        <v>14</v>
      </c>
      <c r="E26" s="24">
        <v>3518.04</v>
      </c>
      <c r="F26" s="25">
        <f t="shared" si="0"/>
        <v>43861</v>
      </c>
      <c r="G26" s="22">
        <v>121</v>
      </c>
      <c r="H26" s="23" t="s">
        <v>80</v>
      </c>
      <c r="I26" s="23" t="s">
        <v>84</v>
      </c>
    </row>
    <row r="27" spans="1:9" x14ac:dyDescent="0.25">
      <c r="A27" s="22">
        <v>26</v>
      </c>
      <c r="B27" s="23" t="s">
        <v>13</v>
      </c>
      <c r="C27" s="22">
        <v>39</v>
      </c>
      <c r="D27" s="23" t="s">
        <v>14</v>
      </c>
      <c r="E27" s="24">
        <v>2122.2600000000002</v>
      </c>
      <c r="F27" s="25">
        <f t="shared" si="0"/>
        <v>43861</v>
      </c>
      <c r="G27" s="22">
        <v>199</v>
      </c>
      <c r="H27" s="23" t="s">
        <v>82</v>
      </c>
      <c r="I27" s="23" t="s">
        <v>85</v>
      </c>
    </row>
    <row r="28" spans="1:9" x14ac:dyDescent="0.25">
      <c r="A28" s="22">
        <v>27</v>
      </c>
      <c r="B28" s="23" t="s">
        <v>11</v>
      </c>
      <c r="C28" s="22">
        <v>30</v>
      </c>
      <c r="D28" s="23" t="s">
        <v>17</v>
      </c>
      <c r="E28" s="24">
        <v>2206.5700000000002</v>
      </c>
      <c r="F28" s="25">
        <f t="shared" si="0"/>
        <v>43861</v>
      </c>
      <c r="G28" s="22">
        <v>197</v>
      </c>
      <c r="H28" s="23" t="s">
        <v>80</v>
      </c>
      <c r="I28" s="23" t="s">
        <v>85</v>
      </c>
    </row>
    <row r="29" spans="1:9" x14ac:dyDescent="0.25">
      <c r="A29" s="22">
        <v>28</v>
      </c>
      <c r="B29" s="23" t="s">
        <v>11</v>
      </c>
      <c r="C29" s="22">
        <v>35</v>
      </c>
      <c r="D29" s="23" t="s">
        <v>14</v>
      </c>
      <c r="E29" s="24">
        <v>2840.16</v>
      </c>
      <c r="F29" s="25">
        <f t="shared" si="0"/>
        <v>43861</v>
      </c>
      <c r="G29" s="22">
        <v>157</v>
      </c>
      <c r="H29" s="23" t="s">
        <v>83</v>
      </c>
      <c r="I29" s="23" t="s">
        <v>85</v>
      </c>
    </row>
    <row r="30" spans="1:9" x14ac:dyDescent="0.25">
      <c r="A30" s="22">
        <v>29</v>
      </c>
      <c r="B30" s="23" t="s">
        <v>11</v>
      </c>
      <c r="C30" s="22">
        <f>0</f>
        <v>0</v>
      </c>
      <c r="D30" s="23" t="s">
        <v>16</v>
      </c>
      <c r="E30" s="24">
        <v>3518.85</v>
      </c>
      <c r="F30" s="25">
        <f t="shared" si="0"/>
        <v>43861</v>
      </c>
      <c r="G30" s="22">
        <v>70</v>
      </c>
      <c r="H30" s="23" t="s">
        <v>83</v>
      </c>
      <c r="I30" s="23" t="s">
        <v>84</v>
      </c>
    </row>
    <row r="31" spans="1:9" x14ac:dyDescent="0.25">
      <c r="A31" s="22">
        <v>30</v>
      </c>
      <c r="B31" s="23" t="s">
        <v>9</v>
      </c>
      <c r="C31" s="22">
        <v>31</v>
      </c>
      <c r="D31" s="23" t="s">
        <v>18</v>
      </c>
      <c r="E31" s="24">
        <v>3905.43</v>
      </c>
      <c r="F31" s="25">
        <f t="shared" si="0"/>
        <v>43861</v>
      </c>
      <c r="G31" s="22">
        <v>87</v>
      </c>
      <c r="H31" s="23" t="s">
        <v>80</v>
      </c>
      <c r="I31" s="23" t="s">
        <v>84</v>
      </c>
    </row>
    <row r="32" spans="1:9" x14ac:dyDescent="0.25">
      <c r="A32" s="22">
        <v>31</v>
      </c>
      <c r="B32" s="23" t="s">
        <v>13</v>
      </c>
      <c r="C32" s="22">
        <v>55</v>
      </c>
      <c r="D32" s="23" t="s">
        <v>18</v>
      </c>
      <c r="E32" s="24">
        <v>1893.35</v>
      </c>
      <c r="F32" s="25">
        <f t="shared" si="0"/>
        <v>43861</v>
      </c>
      <c r="G32" s="22">
        <v>71</v>
      </c>
      <c r="H32" s="23" t="s">
        <v>82</v>
      </c>
      <c r="I32" s="23" t="s">
        <v>85</v>
      </c>
    </row>
    <row r="33" spans="1:9" x14ac:dyDescent="0.25">
      <c r="A33" s="22">
        <v>32</v>
      </c>
      <c r="B33" s="23" t="s">
        <v>10</v>
      </c>
      <c r="C33" s="22">
        <v>26</v>
      </c>
      <c r="D33" s="23" t="s">
        <v>18</v>
      </c>
      <c r="E33" s="24">
        <v>4817.01</v>
      </c>
      <c r="F33" s="25">
        <f t="shared" si="0"/>
        <v>43861</v>
      </c>
      <c r="G33" s="22">
        <v>198</v>
      </c>
      <c r="H33" s="23" t="s">
        <v>81</v>
      </c>
      <c r="I33" s="23" t="s">
        <v>84</v>
      </c>
    </row>
    <row r="34" spans="1:9" x14ac:dyDescent="0.25">
      <c r="A34" s="22">
        <v>33</v>
      </c>
      <c r="B34" s="23" t="s">
        <v>11</v>
      </c>
      <c r="C34" s="22">
        <v>25</v>
      </c>
      <c r="D34" s="23" t="s">
        <v>18</v>
      </c>
      <c r="E34" s="24">
        <v>3263.76</v>
      </c>
      <c r="F34" s="25">
        <f t="shared" si="0"/>
        <v>43861</v>
      </c>
      <c r="G34" s="22">
        <v>59</v>
      </c>
      <c r="H34" s="23" t="s">
        <v>81</v>
      </c>
      <c r="I34" s="23" t="s">
        <v>85</v>
      </c>
    </row>
    <row r="35" spans="1:9" x14ac:dyDescent="0.25">
      <c r="A35" s="22">
        <v>34</v>
      </c>
      <c r="B35" s="23" t="s">
        <v>9</v>
      </c>
      <c r="C35" s="22">
        <v>44</v>
      </c>
      <c r="D35" s="23" t="s">
        <v>17</v>
      </c>
      <c r="E35" s="24">
        <v>4720.62</v>
      </c>
      <c r="F35" s="25">
        <f t="shared" si="0"/>
        <v>43861</v>
      </c>
      <c r="G35" s="22">
        <v>133</v>
      </c>
      <c r="H35" s="23" t="s">
        <v>81</v>
      </c>
      <c r="I35" s="23" t="s">
        <v>85</v>
      </c>
    </row>
    <row r="36" spans="1:9" x14ac:dyDescent="0.25">
      <c r="A36" s="22">
        <v>35</v>
      </c>
      <c r="B36" s="23" t="s">
        <v>11</v>
      </c>
      <c r="C36" s="22">
        <v>47</v>
      </c>
      <c r="D36" s="23" t="s">
        <v>17</v>
      </c>
      <c r="E36" s="24">
        <v>2295.0300000000002</v>
      </c>
      <c r="F36" s="25">
        <f t="shared" si="0"/>
        <v>43861</v>
      </c>
      <c r="G36" s="22">
        <v>43</v>
      </c>
      <c r="H36" s="23" t="s">
        <v>82</v>
      </c>
      <c r="I36" s="23" t="s">
        <v>84</v>
      </c>
    </row>
    <row r="37" spans="1:9" x14ac:dyDescent="0.25">
      <c r="A37" s="22">
        <v>36</v>
      </c>
      <c r="B37" s="23" t="s">
        <v>12</v>
      </c>
      <c r="C37" s="22">
        <v>57</v>
      </c>
      <c r="D37" s="23" t="s">
        <v>16</v>
      </c>
      <c r="E37" s="24">
        <v>1679.19</v>
      </c>
      <c r="F37" s="25">
        <f t="shared" si="0"/>
        <v>43861</v>
      </c>
      <c r="G37" s="22">
        <v>39</v>
      </c>
      <c r="H37" s="23" t="s">
        <v>82</v>
      </c>
      <c r="I37" s="23" t="s">
        <v>85</v>
      </c>
    </row>
    <row r="38" spans="1:9" x14ac:dyDescent="0.25">
      <c r="A38" s="22">
        <v>37</v>
      </c>
      <c r="B38" s="23" t="s">
        <v>11</v>
      </c>
      <c r="C38" s="22">
        <v>52</v>
      </c>
      <c r="D38" s="23" t="s">
        <v>15</v>
      </c>
      <c r="E38" s="24">
        <v>4965</v>
      </c>
      <c r="F38" s="25">
        <f t="shared" si="0"/>
        <v>43861</v>
      </c>
      <c r="G38" s="22">
        <v>181</v>
      </c>
      <c r="H38" s="23" t="s">
        <v>80</v>
      </c>
      <c r="I38" s="23" t="s">
        <v>84</v>
      </c>
    </row>
    <row r="39" spans="1:9" x14ac:dyDescent="0.25">
      <c r="A39" s="22">
        <v>38</v>
      </c>
      <c r="B39" s="23" t="s">
        <v>12</v>
      </c>
      <c r="C39" s="22">
        <v>29</v>
      </c>
      <c r="D39" s="23" t="s">
        <v>14</v>
      </c>
      <c r="E39" s="24">
        <v>2249.7800000000002</v>
      </c>
      <c r="F39" s="25">
        <f t="shared" si="0"/>
        <v>43861</v>
      </c>
      <c r="G39" s="22">
        <v>157</v>
      </c>
      <c r="H39" s="23" t="s">
        <v>83</v>
      </c>
      <c r="I39" s="23" t="s">
        <v>85</v>
      </c>
    </row>
    <row r="40" spans="1:9" x14ac:dyDescent="0.25">
      <c r="A40" s="22">
        <v>39</v>
      </c>
      <c r="B40" s="23" t="s">
        <v>12</v>
      </c>
      <c r="C40" s="22">
        <v>47</v>
      </c>
      <c r="D40" s="23" t="s">
        <v>16</v>
      </c>
      <c r="E40" s="24">
        <v>2922.24</v>
      </c>
      <c r="F40" s="25">
        <f t="shared" si="0"/>
        <v>43861</v>
      </c>
      <c r="G40" s="22">
        <v>177</v>
      </c>
      <c r="H40" s="23" t="s">
        <v>83</v>
      </c>
      <c r="I40" s="23" t="s">
        <v>84</v>
      </c>
    </row>
    <row r="41" spans="1:9" x14ac:dyDescent="0.25">
      <c r="A41" s="22">
        <v>40</v>
      </c>
      <c r="B41" s="23" t="s">
        <v>9</v>
      </c>
      <c r="C41" s="22">
        <v>62</v>
      </c>
      <c r="D41" s="23" t="s">
        <v>16</v>
      </c>
      <c r="E41" s="24">
        <f>0</f>
        <v>0</v>
      </c>
      <c r="F41" s="25">
        <f t="shared" si="0"/>
        <v>43861</v>
      </c>
      <c r="G41" s="22">
        <v>83</v>
      </c>
      <c r="H41" s="23" t="s">
        <v>82</v>
      </c>
      <c r="I41" s="23" t="s">
        <v>84</v>
      </c>
    </row>
    <row r="42" spans="1:9" x14ac:dyDescent="0.25">
      <c r="A42" s="22">
        <v>41</v>
      </c>
      <c r="B42" s="23" t="s">
        <v>9</v>
      </c>
      <c r="C42" s="22">
        <v>49</v>
      </c>
      <c r="D42" s="23" t="s">
        <v>16</v>
      </c>
      <c r="E42" s="24">
        <v>4746.34</v>
      </c>
      <c r="F42" s="25">
        <f t="shared" si="0"/>
        <v>43861</v>
      </c>
      <c r="G42" s="22">
        <v>84</v>
      </c>
      <c r="H42" s="23" t="s">
        <v>82</v>
      </c>
      <c r="I42" s="23" t="s">
        <v>84</v>
      </c>
    </row>
    <row r="43" spans="1:9" x14ac:dyDescent="0.25">
      <c r="A43" s="22">
        <v>42</v>
      </c>
      <c r="B43" s="23" t="s">
        <v>9</v>
      </c>
      <c r="C43" s="22">
        <v>52</v>
      </c>
      <c r="D43" s="23" t="s">
        <v>15</v>
      </c>
      <c r="E43" s="24">
        <v>4118.12</v>
      </c>
      <c r="F43" s="25">
        <f t="shared" si="0"/>
        <v>43861</v>
      </c>
      <c r="G43" s="22">
        <v>61</v>
      </c>
      <c r="H43" s="23" t="s">
        <v>82</v>
      </c>
      <c r="I43" s="23" t="s">
        <v>84</v>
      </c>
    </row>
    <row r="44" spans="1:9" x14ac:dyDescent="0.25">
      <c r="A44" s="22">
        <v>43</v>
      </c>
      <c r="B44" s="23" t="s">
        <v>13</v>
      </c>
      <c r="C44" s="22">
        <v>53</v>
      </c>
      <c r="D44" s="23" t="s">
        <v>14</v>
      </c>
      <c r="E44" s="24">
        <v>4424.3599999999997</v>
      </c>
      <c r="F44" s="25">
        <f t="shared" si="0"/>
        <v>43861</v>
      </c>
      <c r="G44" s="22">
        <v>109</v>
      </c>
      <c r="H44" s="23" t="s">
        <v>81</v>
      </c>
      <c r="I44" s="23" t="s">
        <v>85</v>
      </c>
    </row>
    <row r="45" spans="1:9" x14ac:dyDescent="0.25">
      <c r="A45" s="22">
        <v>44</v>
      </c>
      <c r="B45" s="23" t="s">
        <v>10</v>
      </c>
      <c r="C45" s="22">
        <v>45</v>
      </c>
      <c r="D45" s="23" t="s">
        <v>14</v>
      </c>
      <c r="E45" s="24">
        <v>2180.58</v>
      </c>
      <c r="F45" s="25">
        <f t="shared" si="0"/>
        <v>43861</v>
      </c>
      <c r="G45" s="22">
        <v>39</v>
      </c>
      <c r="H45" s="23" t="s">
        <v>81</v>
      </c>
      <c r="I45" s="23" t="s">
        <v>84</v>
      </c>
    </row>
    <row r="46" spans="1:9" x14ac:dyDescent="0.25">
      <c r="A46" s="22">
        <v>45</v>
      </c>
      <c r="B46" s="23" t="s">
        <v>13</v>
      </c>
      <c r="C46" s="22">
        <v>57</v>
      </c>
      <c r="D46" s="23" t="s">
        <v>14</v>
      </c>
      <c r="E46" s="24">
        <v>4407.28</v>
      </c>
      <c r="F46" s="25">
        <f t="shared" si="0"/>
        <v>43861</v>
      </c>
      <c r="G46" s="22">
        <v>140</v>
      </c>
      <c r="H46" s="23" t="s">
        <v>82</v>
      </c>
      <c r="I46" s="23" t="s">
        <v>84</v>
      </c>
    </row>
    <row r="47" spans="1:9" x14ac:dyDescent="0.25">
      <c r="A47" s="22">
        <v>46</v>
      </c>
      <c r="B47" s="23" t="s">
        <v>12</v>
      </c>
      <c r="C47" s="22">
        <v>43</v>
      </c>
      <c r="D47" s="23" t="s">
        <v>14</v>
      </c>
      <c r="E47" s="24">
        <v>2960.08</v>
      </c>
      <c r="F47" s="25">
        <f t="shared" si="0"/>
        <v>43861</v>
      </c>
      <c r="G47" s="22">
        <v>78</v>
      </c>
      <c r="H47" s="23" t="s">
        <v>80</v>
      </c>
      <c r="I47" s="23" t="s">
        <v>85</v>
      </c>
    </row>
    <row r="48" spans="1:9" x14ac:dyDescent="0.25">
      <c r="A48" s="22">
        <v>47</v>
      </c>
      <c r="B48" s="23" t="s">
        <v>10</v>
      </c>
      <c r="C48" s="22">
        <v>48</v>
      </c>
      <c r="D48" s="23" t="s">
        <v>17</v>
      </c>
      <c r="E48" s="24">
        <v>3915.26</v>
      </c>
      <c r="F48" s="25">
        <f t="shared" si="0"/>
        <v>43861</v>
      </c>
      <c r="G48" s="22">
        <v>29</v>
      </c>
      <c r="H48" s="23" t="s">
        <v>82</v>
      </c>
      <c r="I48" s="23" t="s">
        <v>85</v>
      </c>
    </row>
    <row r="49" spans="1:9" x14ac:dyDescent="0.25">
      <c r="A49" s="22">
        <v>48</v>
      </c>
      <c r="B49" s="23" t="s">
        <v>13</v>
      </c>
      <c r="C49" s="22">
        <v>19</v>
      </c>
      <c r="D49" s="23" t="s">
        <v>18</v>
      </c>
      <c r="E49" s="24">
        <v>2235.94</v>
      </c>
      <c r="F49" s="25">
        <f t="shared" si="0"/>
        <v>43861</v>
      </c>
      <c r="G49" s="22">
        <v>170</v>
      </c>
      <c r="H49" s="23" t="s">
        <v>81</v>
      </c>
      <c r="I49" s="23" t="s">
        <v>85</v>
      </c>
    </row>
    <row r="50" spans="1:9" x14ac:dyDescent="0.25">
      <c r="A50" s="22">
        <v>49</v>
      </c>
      <c r="B50" s="23" t="s">
        <v>11</v>
      </c>
      <c r="C50" s="22">
        <v>35</v>
      </c>
      <c r="D50" s="23" t="s">
        <v>16</v>
      </c>
      <c r="E50" s="24">
        <v>4161.1099999999997</v>
      </c>
      <c r="F50" s="25">
        <f t="shared" si="0"/>
        <v>43861</v>
      </c>
      <c r="G50" s="22">
        <v>174</v>
      </c>
      <c r="H50" s="23" t="s">
        <v>83</v>
      </c>
      <c r="I50" s="23" t="s">
        <v>84</v>
      </c>
    </row>
    <row r="51" spans="1:9" x14ac:dyDescent="0.25">
      <c r="A51" s="22">
        <v>50</v>
      </c>
      <c r="B51" s="23" t="s">
        <v>13</v>
      </c>
      <c r="C51" s="22">
        <v>31</v>
      </c>
      <c r="D51" s="23" t="s">
        <v>16</v>
      </c>
      <c r="E51" s="24">
        <v>2652.67</v>
      </c>
      <c r="F51" s="25">
        <f t="shared" si="0"/>
        <v>43861</v>
      </c>
      <c r="G51" s="22">
        <v>72</v>
      </c>
      <c r="H51" s="23" t="s">
        <v>83</v>
      </c>
      <c r="I51" s="23" t="s">
        <v>85</v>
      </c>
    </row>
    <row r="52" spans="1:9" x14ac:dyDescent="0.25">
      <c r="A52" s="22">
        <v>51</v>
      </c>
      <c r="B52" s="23" t="s">
        <v>11</v>
      </c>
      <c r="C52" s="22">
        <v>44</v>
      </c>
      <c r="D52" s="23" t="s">
        <v>18</v>
      </c>
      <c r="E52" s="24">
        <v>2123.8000000000002</v>
      </c>
      <c r="F52" s="25">
        <f t="shared" si="0"/>
        <v>43861</v>
      </c>
      <c r="G52" s="22">
        <v>178</v>
      </c>
      <c r="H52" s="23" t="s">
        <v>81</v>
      </c>
      <c r="I52" s="23" t="s">
        <v>84</v>
      </c>
    </row>
    <row r="53" spans="1:9" x14ac:dyDescent="0.25">
      <c r="A53" s="22">
        <v>52</v>
      </c>
      <c r="B53" s="23" t="s">
        <v>12</v>
      </c>
      <c r="C53" s="22">
        <v>33</v>
      </c>
      <c r="D53" s="23" t="s">
        <v>14</v>
      </c>
      <c r="E53" s="24">
        <v>3423.13</v>
      </c>
      <c r="F53" s="25">
        <f t="shared" si="0"/>
        <v>43861</v>
      </c>
      <c r="G53" s="22">
        <v>113</v>
      </c>
      <c r="H53" s="23" t="s">
        <v>81</v>
      </c>
      <c r="I53" s="23" t="s">
        <v>84</v>
      </c>
    </row>
    <row r="54" spans="1:9" x14ac:dyDescent="0.25">
      <c r="A54" s="22">
        <v>53</v>
      </c>
      <c r="B54" s="23" t="s">
        <v>11</v>
      </c>
      <c r="C54" s="22">
        <v>39</v>
      </c>
      <c r="D54" s="23" t="s">
        <v>18</v>
      </c>
      <c r="E54" s="24">
        <v>4367.6400000000003</v>
      </c>
      <c r="F54" s="25">
        <f t="shared" si="0"/>
        <v>43861</v>
      </c>
      <c r="G54" s="22">
        <v>62</v>
      </c>
      <c r="H54" s="23" t="s">
        <v>81</v>
      </c>
      <c r="I54" s="23" t="s">
        <v>85</v>
      </c>
    </row>
    <row r="55" spans="1:9" x14ac:dyDescent="0.25">
      <c r="A55" s="22">
        <v>54</v>
      </c>
      <c r="B55" s="23" t="s">
        <v>10</v>
      </c>
      <c r="C55" s="22">
        <v>51</v>
      </c>
      <c r="D55" s="23" t="s">
        <v>15</v>
      </c>
      <c r="E55" s="24">
        <v>2718.98</v>
      </c>
      <c r="F55" s="25">
        <f t="shared" si="0"/>
        <v>43861</v>
      </c>
      <c r="G55" s="22">
        <v>69</v>
      </c>
      <c r="H55" s="23" t="s">
        <v>82</v>
      </c>
      <c r="I55" s="23" t="s">
        <v>84</v>
      </c>
    </row>
    <row r="56" spans="1:9" x14ac:dyDescent="0.25">
      <c r="A56" s="22">
        <v>55</v>
      </c>
      <c r="B56" s="23" t="s">
        <v>12</v>
      </c>
      <c r="C56" s="22">
        <v>42</v>
      </c>
      <c r="D56" s="23" t="s">
        <v>18</v>
      </c>
      <c r="E56" s="24">
        <v>4048.83</v>
      </c>
      <c r="F56" s="25">
        <f t="shared" si="0"/>
        <v>43861</v>
      </c>
      <c r="G56" s="22">
        <v>84</v>
      </c>
      <c r="H56" s="23" t="s">
        <v>81</v>
      </c>
      <c r="I56" s="23" t="s">
        <v>85</v>
      </c>
    </row>
    <row r="57" spans="1:9" x14ac:dyDescent="0.25">
      <c r="A57" s="22">
        <v>56</v>
      </c>
      <c r="B57" s="23" t="s">
        <v>13</v>
      </c>
      <c r="C57" s="22">
        <v>54</v>
      </c>
      <c r="D57" s="23" t="s">
        <v>17</v>
      </c>
      <c r="E57" s="24">
        <v>2832.46</v>
      </c>
      <c r="F57" s="25">
        <f t="shared" si="0"/>
        <v>43861</v>
      </c>
      <c r="G57" s="22">
        <v>119</v>
      </c>
      <c r="H57" s="23" t="s">
        <v>81</v>
      </c>
      <c r="I57" s="23" t="s">
        <v>85</v>
      </c>
    </row>
    <row r="58" spans="1:9" x14ac:dyDescent="0.25">
      <c r="A58" s="22">
        <v>57</v>
      </c>
      <c r="B58" s="23" t="s">
        <v>13</v>
      </c>
      <c r="C58" s="22">
        <v>53</v>
      </c>
      <c r="D58" s="23" t="s">
        <v>17</v>
      </c>
      <c r="E58" s="24">
        <v>1600.54</v>
      </c>
      <c r="F58" s="25">
        <f t="shared" si="0"/>
        <v>43861</v>
      </c>
      <c r="G58" s="22">
        <v>87</v>
      </c>
      <c r="H58" s="23" t="s">
        <v>82</v>
      </c>
      <c r="I58" s="23" t="s">
        <v>85</v>
      </c>
    </row>
    <row r="59" spans="1:9" x14ac:dyDescent="0.25">
      <c r="A59" s="22">
        <v>58</v>
      </c>
      <c r="B59" s="23" t="s">
        <v>11</v>
      </c>
      <c r="C59" s="22">
        <v>50</v>
      </c>
      <c r="D59" s="23" t="s">
        <v>18</v>
      </c>
      <c r="E59" s="24">
        <v>1930.06</v>
      </c>
      <c r="F59" s="25">
        <f t="shared" si="0"/>
        <v>43861</v>
      </c>
      <c r="G59" s="22">
        <v>88</v>
      </c>
      <c r="H59" s="23" t="s">
        <v>80</v>
      </c>
      <c r="I59" s="23" t="s">
        <v>85</v>
      </c>
    </row>
    <row r="60" spans="1:9" x14ac:dyDescent="0.25">
      <c r="A60" s="22">
        <v>59</v>
      </c>
      <c r="B60" s="23" t="s">
        <v>11</v>
      </c>
      <c r="C60" s="22">
        <v>37</v>
      </c>
      <c r="D60" s="23" t="s">
        <v>18</v>
      </c>
      <c r="E60" s="24">
        <v>2279.9899999999998</v>
      </c>
      <c r="F60" s="25">
        <f t="shared" si="0"/>
        <v>43861</v>
      </c>
      <c r="G60" s="22">
        <f>0</f>
        <v>0</v>
      </c>
      <c r="H60" s="23" t="s">
        <v>82</v>
      </c>
      <c r="I60" s="23" t="s">
        <v>84</v>
      </c>
    </row>
    <row r="61" spans="1:9" x14ac:dyDescent="0.25">
      <c r="A61" s="22">
        <v>60</v>
      </c>
      <c r="B61" s="23" t="s">
        <v>10</v>
      </c>
      <c r="C61" s="22">
        <v>31</v>
      </c>
      <c r="D61" s="23" t="s">
        <v>18</v>
      </c>
      <c r="E61" s="24">
        <v>1880.81</v>
      </c>
      <c r="F61" s="25">
        <f t="shared" si="0"/>
        <v>43861</v>
      </c>
      <c r="G61" s="22">
        <v>74</v>
      </c>
      <c r="H61" s="23" t="s">
        <v>82</v>
      </c>
      <c r="I61" s="23" t="s">
        <v>85</v>
      </c>
    </row>
    <row r="62" spans="1:9" x14ac:dyDescent="0.25">
      <c r="A62" s="22">
        <v>61</v>
      </c>
      <c r="B62" s="23" t="s">
        <v>10</v>
      </c>
      <c r="C62" s="22">
        <v>50</v>
      </c>
      <c r="D62" s="23" t="s">
        <v>18</v>
      </c>
      <c r="E62" s="24">
        <v>3640.41</v>
      </c>
      <c r="F62" s="25">
        <f t="shared" si="0"/>
        <v>43861</v>
      </c>
      <c r="G62" s="22">
        <v>172</v>
      </c>
      <c r="H62" s="23" t="s">
        <v>82</v>
      </c>
      <c r="I62" s="23" t="s">
        <v>84</v>
      </c>
    </row>
    <row r="63" spans="1:9" x14ac:dyDescent="0.25">
      <c r="A63" s="22">
        <v>62</v>
      </c>
      <c r="B63" s="23" t="s">
        <v>12</v>
      </c>
      <c r="C63" s="22">
        <v>26</v>
      </c>
      <c r="D63" s="23" t="s">
        <v>18</v>
      </c>
      <c r="E63" s="24">
        <v>3092.08</v>
      </c>
      <c r="F63" s="25">
        <f t="shared" si="0"/>
        <v>43861</v>
      </c>
      <c r="G63" s="22">
        <v>163</v>
      </c>
      <c r="H63" s="23" t="s">
        <v>82</v>
      </c>
      <c r="I63" s="23" t="s">
        <v>85</v>
      </c>
    </row>
    <row r="64" spans="1:9" x14ac:dyDescent="0.25">
      <c r="A64" s="22">
        <v>63</v>
      </c>
      <c r="B64" s="23" t="s">
        <v>12</v>
      </c>
      <c r="C64" s="22">
        <v>52</v>
      </c>
      <c r="D64" s="23" t="s">
        <v>18</v>
      </c>
      <c r="E64" s="24">
        <f>0</f>
        <v>0</v>
      </c>
      <c r="F64" s="25">
        <f t="shared" si="0"/>
        <v>43861</v>
      </c>
      <c r="G64" s="22">
        <v>98</v>
      </c>
      <c r="H64" s="23" t="s">
        <v>82</v>
      </c>
      <c r="I64" s="23" t="s">
        <v>84</v>
      </c>
    </row>
    <row r="65" spans="1:9" x14ac:dyDescent="0.25">
      <c r="A65" s="22">
        <v>64</v>
      </c>
      <c r="B65" s="23" t="s">
        <v>13</v>
      </c>
      <c r="C65" s="22">
        <v>48</v>
      </c>
      <c r="D65" s="23" t="s">
        <v>14</v>
      </c>
      <c r="E65" s="24">
        <v>2330.33</v>
      </c>
      <c r="F65" s="25">
        <f t="shared" si="0"/>
        <v>43861</v>
      </c>
      <c r="G65" s="22">
        <v>86</v>
      </c>
      <c r="H65" s="23" t="s">
        <v>81</v>
      </c>
      <c r="I65" s="23" t="s">
        <v>84</v>
      </c>
    </row>
    <row r="66" spans="1:9" x14ac:dyDescent="0.25">
      <c r="A66" s="22">
        <v>65</v>
      </c>
      <c r="B66" s="23" t="s">
        <v>11</v>
      </c>
      <c r="C66" s="22">
        <v>59</v>
      </c>
      <c r="D66" s="23" t="s">
        <v>16</v>
      </c>
      <c r="E66" s="24">
        <v>2006.06</v>
      </c>
      <c r="F66" s="25">
        <f t="shared" si="0"/>
        <v>43861</v>
      </c>
      <c r="G66" s="22">
        <v>59</v>
      </c>
      <c r="H66" s="23" t="s">
        <v>82</v>
      </c>
      <c r="I66" s="23" t="s">
        <v>84</v>
      </c>
    </row>
    <row r="67" spans="1:9" x14ac:dyDescent="0.25">
      <c r="A67" s="22">
        <v>66</v>
      </c>
      <c r="B67" s="23" t="s">
        <v>13</v>
      </c>
      <c r="C67" s="22">
        <v>50</v>
      </c>
      <c r="D67" s="23" t="s">
        <v>16</v>
      </c>
      <c r="E67" s="24">
        <v>2188.89</v>
      </c>
      <c r="F67" s="25">
        <f t="shared" ref="F67:F101" si="1">DATE(2020,1,31)</f>
        <v>43861</v>
      </c>
      <c r="G67" s="22">
        <v>26</v>
      </c>
      <c r="H67" s="23" t="s">
        <v>81</v>
      </c>
      <c r="I67" s="23" t="s">
        <v>84</v>
      </c>
    </row>
    <row r="68" spans="1:9" x14ac:dyDescent="0.25">
      <c r="A68" s="22">
        <v>67</v>
      </c>
      <c r="B68" s="23" t="s">
        <v>11</v>
      </c>
      <c r="C68" s="22">
        <v>29</v>
      </c>
      <c r="D68" s="23" t="s">
        <v>15</v>
      </c>
      <c r="E68" s="24">
        <v>2088.23</v>
      </c>
      <c r="F68" s="25">
        <f t="shared" si="1"/>
        <v>43861</v>
      </c>
      <c r="G68" s="22">
        <v>137</v>
      </c>
      <c r="H68" s="23" t="s">
        <v>80</v>
      </c>
      <c r="I68" s="23" t="s">
        <v>84</v>
      </c>
    </row>
    <row r="69" spans="1:9" x14ac:dyDescent="0.25">
      <c r="A69" s="22">
        <v>68</v>
      </c>
      <c r="B69" s="23" t="s">
        <v>13</v>
      </c>
      <c r="C69" s="22">
        <v>60</v>
      </c>
      <c r="D69" s="23" t="s">
        <v>14</v>
      </c>
      <c r="E69" s="24">
        <v>3676.33</v>
      </c>
      <c r="F69" s="25">
        <f t="shared" si="1"/>
        <v>43861</v>
      </c>
      <c r="G69" s="22">
        <v>35</v>
      </c>
      <c r="H69" s="23" t="s">
        <v>80</v>
      </c>
      <c r="I69" s="23" t="s">
        <v>84</v>
      </c>
    </row>
    <row r="70" spans="1:9" x14ac:dyDescent="0.25">
      <c r="A70" s="22">
        <v>69</v>
      </c>
      <c r="B70" s="23" t="s">
        <v>13</v>
      </c>
      <c r="C70" s="22">
        <v>56</v>
      </c>
      <c r="D70" s="23" t="s">
        <v>17</v>
      </c>
      <c r="E70" s="24">
        <v>2485.64</v>
      </c>
      <c r="F70" s="25">
        <f t="shared" si="1"/>
        <v>43861</v>
      </c>
      <c r="G70" s="22">
        <v>158</v>
      </c>
      <c r="H70" s="23" t="s">
        <v>82</v>
      </c>
      <c r="I70" s="23" t="s">
        <v>85</v>
      </c>
    </row>
    <row r="71" spans="1:9" x14ac:dyDescent="0.25">
      <c r="A71" s="22">
        <v>70</v>
      </c>
      <c r="B71" s="23" t="s">
        <v>11</v>
      </c>
      <c r="C71" s="22">
        <v>33</v>
      </c>
      <c r="D71" s="23" t="s">
        <v>14</v>
      </c>
      <c r="E71" s="24">
        <v>2096.34</v>
      </c>
      <c r="F71" s="25">
        <f t="shared" si="1"/>
        <v>43861</v>
      </c>
      <c r="G71" s="22">
        <v>134</v>
      </c>
      <c r="H71" s="23" t="s">
        <v>81</v>
      </c>
      <c r="I71" s="23" t="s">
        <v>84</v>
      </c>
    </row>
    <row r="72" spans="1:9" x14ac:dyDescent="0.25">
      <c r="A72" s="22">
        <v>71</v>
      </c>
      <c r="B72" s="23" t="s">
        <v>10</v>
      </c>
      <c r="C72" s="22">
        <v>34</v>
      </c>
      <c r="D72" s="23" t="s">
        <v>14</v>
      </c>
      <c r="E72" s="24">
        <v>2773.44</v>
      </c>
      <c r="F72" s="25">
        <f t="shared" si="1"/>
        <v>43861</v>
      </c>
      <c r="G72" s="22">
        <v>44</v>
      </c>
      <c r="H72" s="23" t="s">
        <v>80</v>
      </c>
      <c r="I72" s="23" t="s">
        <v>85</v>
      </c>
    </row>
    <row r="73" spans="1:9" x14ac:dyDescent="0.25">
      <c r="A73" s="22">
        <v>72</v>
      </c>
      <c r="B73" s="23" t="s">
        <v>13</v>
      </c>
      <c r="C73" s="22">
        <v>34</v>
      </c>
      <c r="D73" s="23" t="s">
        <v>17</v>
      </c>
      <c r="E73" s="24">
        <v>4056.13</v>
      </c>
      <c r="F73" s="25">
        <f t="shared" si="1"/>
        <v>43861</v>
      </c>
      <c r="G73" s="22">
        <v>103</v>
      </c>
      <c r="H73" s="23" t="s">
        <v>80</v>
      </c>
      <c r="I73" s="23" t="s">
        <v>85</v>
      </c>
    </row>
    <row r="74" spans="1:9" x14ac:dyDescent="0.25">
      <c r="A74" s="22">
        <v>73</v>
      </c>
      <c r="B74" s="23" t="s">
        <v>13</v>
      </c>
      <c r="C74" s="22">
        <v>63</v>
      </c>
      <c r="D74" s="23" t="s">
        <v>15</v>
      </c>
      <c r="E74" s="24">
        <v>2605.59</v>
      </c>
      <c r="F74" s="25">
        <f t="shared" si="1"/>
        <v>43861</v>
      </c>
      <c r="G74" s="22">
        <v>137</v>
      </c>
      <c r="H74" s="23" t="s">
        <v>81</v>
      </c>
      <c r="I74" s="23" t="s">
        <v>85</v>
      </c>
    </row>
    <row r="75" spans="1:9" x14ac:dyDescent="0.25">
      <c r="A75" s="22">
        <v>74</v>
      </c>
      <c r="B75" s="23" t="s">
        <v>12</v>
      </c>
      <c r="C75" s="22">
        <v>27</v>
      </c>
      <c r="D75" s="23" t="s">
        <v>15</v>
      </c>
      <c r="E75" s="24">
        <v>4199.9399999999996</v>
      </c>
      <c r="F75" s="25">
        <f t="shared" si="1"/>
        <v>43861</v>
      </c>
      <c r="G75" s="22">
        <v>89</v>
      </c>
      <c r="H75" s="23" t="s">
        <v>80</v>
      </c>
      <c r="I75" s="23" t="s">
        <v>85</v>
      </c>
    </row>
    <row r="76" spans="1:9" x14ac:dyDescent="0.25">
      <c r="A76" s="22">
        <v>75</v>
      </c>
      <c r="B76" s="23" t="s">
        <v>12</v>
      </c>
      <c r="C76" s="22">
        <v>24</v>
      </c>
      <c r="D76" s="23" t="s">
        <v>18</v>
      </c>
      <c r="E76" s="24">
        <v>4018.51</v>
      </c>
      <c r="F76" s="25">
        <f t="shared" si="1"/>
        <v>43861</v>
      </c>
      <c r="G76" s="22">
        <v>63</v>
      </c>
      <c r="H76" s="23" t="s">
        <v>82</v>
      </c>
      <c r="I76" s="23" t="s">
        <v>84</v>
      </c>
    </row>
    <row r="77" spans="1:9" x14ac:dyDescent="0.25">
      <c r="A77" s="22">
        <v>76</v>
      </c>
      <c r="B77" s="23" t="s">
        <v>9</v>
      </c>
      <c r="C77" s="22">
        <v>30</v>
      </c>
      <c r="D77" s="23" t="s">
        <v>14</v>
      </c>
      <c r="E77" s="24">
        <v>2698.24</v>
      </c>
      <c r="F77" s="25">
        <f t="shared" si="1"/>
        <v>43861</v>
      </c>
      <c r="G77" s="22">
        <v>159</v>
      </c>
      <c r="H77" s="23" t="s">
        <v>83</v>
      </c>
      <c r="I77" s="23" t="s">
        <v>84</v>
      </c>
    </row>
    <row r="78" spans="1:9" x14ac:dyDescent="0.25">
      <c r="A78" s="22">
        <v>77</v>
      </c>
      <c r="B78" s="23" t="s">
        <v>13</v>
      </c>
      <c r="C78" s="22">
        <v>24</v>
      </c>
      <c r="D78" s="23" t="s">
        <v>15</v>
      </c>
      <c r="E78" s="24">
        <v>3266.74</v>
      </c>
      <c r="F78" s="25">
        <f t="shared" si="1"/>
        <v>43861</v>
      </c>
      <c r="G78" s="22">
        <v>61</v>
      </c>
      <c r="H78" s="23" t="s">
        <v>83</v>
      </c>
      <c r="I78" s="23" t="s">
        <v>85</v>
      </c>
    </row>
    <row r="79" spans="1:9" x14ac:dyDescent="0.25">
      <c r="A79" s="22">
        <v>78</v>
      </c>
      <c r="B79" s="23" t="s">
        <v>13</v>
      </c>
      <c r="C79" s="22">
        <v>23</v>
      </c>
      <c r="D79" s="23" t="s">
        <v>18</v>
      </c>
      <c r="E79" s="24">
        <v>2336.83</v>
      </c>
      <c r="F79" s="25">
        <f t="shared" si="1"/>
        <v>43861</v>
      </c>
      <c r="G79" s="22">
        <v>183</v>
      </c>
      <c r="H79" s="23" t="s">
        <v>81</v>
      </c>
      <c r="I79" s="23" t="s">
        <v>84</v>
      </c>
    </row>
    <row r="80" spans="1:9" x14ac:dyDescent="0.25">
      <c r="A80" s="22">
        <v>79</v>
      </c>
      <c r="B80" s="23" t="s">
        <v>11</v>
      </c>
      <c r="C80" s="22">
        <v>30</v>
      </c>
      <c r="D80" s="23" t="s">
        <v>17</v>
      </c>
      <c r="E80" s="24">
        <v>2248.6</v>
      </c>
      <c r="F80" s="25">
        <f t="shared" si="1"/>
        <v>43861</v>
      </c>
      <c r="G80" s="22">
        <v>113</v>
      </c>
      <c r="H80" s="23" t="s">
        <v>83</v>
      </c>
      <c r="I80" s="23" t="s">
        <v>85</v>
      </c>
    </row>
    <row r="81" spans="1:9" x14ac:dyDescent="0.25">
      <c r="A81" s="22">
        <v>80</v>
      </c>
      <c r="B81" s="23" t="s">
        <v>12</v>
      </c>
      <c r="C81" s="22">
        <v>49</v>
      </c>
      <c r="D81" s="23" t="s">
        <v>17</v>
      </c>
      <c r="E81" s="24">
        <v>3867.36</v>
      </c>
      <c r="F81" s="25">
        <f t="shared" si="1"/>
        <v>43861</v>
      </c>
      <c r="G81" s="22">
        <v>136</v>
      </c>
      <c r="H81" s="23" t="s">
        <v>83</v>
      </c>
      <c r="I81" s="23" t="s">
        <v>85</v>
      </c>
    </row>
    <row r="82" spans="1:9" x14ac:dyDescent="0.25">
      <c r="A82" s="22">
        <v>81</v>
      </c>
      <c r="B82" s="23" t="s">
        <v>13</v>
      </c>
      <c r="C82" s="22">
        <v>52</v>
      </c>
      <c r="D82" s="23" t="s">
        <v>15</v>
      </c>
      <c r="E82" s="24">
        <v>3502.36</v>
      </c>
      <c r="F82" s="25">
        <f t="shared" si="1"/>
        <v>43861</v>
      </c>
      <c r="G82" s="22">
        <v>164</v>
      </c>
      <c r="H82" s="23" t="s">
        <v>81</v>
      </c>
      <c r="I82" s="23" t="s">
        <v>84</v>
      </c>
    </row>
    <row r="83" spans="1:9" x14ac:dyDescent="0.25">
      <c r="A83" s="22">
        <v>82</v>
      </c>
      <c r="B83" s="23" t="s">
        <v>12</v>
      </c>
      <c r="C83" s="22">
        <v>32</v>
      </c>
      <c r="D83" s="23" t="s">
        <v>18</v>
      </c>
      <c r="E83" s="24">
        <v>4476.16</v>
      </c>
      <c r="F83" s="25">
        <f t="shared" si="1"/>
        <v>43861</v>
      </c>
      <c r="G83" s="22">
        <v>126</v>
      </c>
      <c r="H83" s="23" t="s">
        <v>81</v>
      </c>
      <c r="I83" s="23" t="s">
        <v>84</v>
      </c>
    </row>
    <row r="84" spans="1:9" x14ac:dyDescent="0.25">
      <c r="A84" s="22">
        <v>83</v>
      </c>
      <c r="B84" s="23" t="s">
        <v>9</v>
      </c>
      <c r="C84" s="22">
        <v>40</v>
      </c>
      <c r="D84" s="23" t="s">
        <v>15</v>
      </c>
      <c r="E84" s="24">
        <v>1843.27</v>
      </c>
      <c r="F84" s="25">
        <f t="shared" si="1"/>
        <v>43861</v>
      </c>
      <c r="G84" s="22">
        <v>43</v>
      </c>
      <c r="H84" s="23" t="s">
        <v>82</v>
      </c>
      <c r="I84" s="23" t="s">
        <v>84</v>
      </c>
    </row>
    <row r="85" spans="1:9" x14ac:dyDescent="0.25">
      <c r="A85" s="22">
        <v>84</v>
      </c>
      <c r="B85" s="23" t="s">
        <v>10</v>
      </c>
      <c r="C85" s="22">
        <v>20</v>
      </c>
      <c r="D85" s="23" t="s">
        <v>15</v>
      </c>
      <c r="E85" s="24">
        <v>4417.3900000000003</v>
      </c>
      <c r="F85" s="25">
        <f t="shared" si="1"/>
        <v>43861</v>
      </c>
      <c r="G85" s="22">
        <v>197</v>
      </c>
      <c r="H85" s="23" t="s">
        <v>81</v>
      </c>
      <c r="I85" s="23" t="s">
        <v>84</v>
      </c>
    </row>
    <row r="86" spans="1:9" x14ac:dyDescent="0.25">
      <c r="A86" s="22">
        <v>85</v>
      </c>
      <c r="B86" s="23" t="s">
        <v>11</v>
      </c>
      <c r="C86" s="22">
        <v>46</v>
      </c>
      <c r="D86" s="23" t="s">
        <v>15</v>
      </c>
      <c r="E86" s="24">
        <v>2112.16</v>
      </c>
      <c r="F86" s="25">
        <f t="shared" si="1"/>
        <v>43861</v>
      </c>
      <c r="G86" s="22">
        <v>103</v>
      </c>
      <c r="H86" s="23" t="s">
        <v>81</v>
      </c>
      <c r="I86" s="23" t="s">
        <v>84</v>
      </c>
    </row>
    <row r="87" spans="1:9" x14ac:dyDescent="0.25">
      <c r="A87" s="22">
        <v>86</v>
      </c>
      <c r="B87" s="23" t="s">
        <v>9</v>
      </c>
      <c r="C87" s="22">
        <v>33</v>
      </c>
      <c r="D87" s="23" t="s">
        <v>17</v>
      </c>
      <c r="E87" s="24">
        <v>4590.47</v>
      </c>
      <c r="F87" s="25">
        <f t="shared" si="1"/>
        <v>43861</v>
      </c>
      <c r="G87" s="22">
        <v>28</v>
      </c>
      <c r="H87" s="23" t="s">
        <v>80</v>
      </c>
      <c r="I87" s="23" t="s">
        <v>84</v>
      </c>
    </row>
    <row r="88" spans="1:9" x14ac:dyDescent="0.25">
      <c r="A88" s="22">
        <v>87</v>
      </c>
      <c r="B88" s="23" t="s">
        <v>12</v>
      </c>
      <c r="C88" s="22">
        <v>45</v>
      </c>
      <c r="D88" s="23" t="s">
        <v>15</v>
      </c>
      <c r="E88" s="24">
        <v>4803.0200000000004</v>
      </c>
      <c r="F88" s="25">
        <f t="shared" si="1"/>
        <v>43861</v>
      </c>
      <c r="G88" s="22">
        <v>23</v>
      </c>
      <c r="H88" s="23" t="s">
        <v>83</v>
      </c>
      <c r="I88" s="23" t="s">
        <v>84</v>
      </c>
    </row>
    <row r="89" spans="1:9" x14ac:dyDescent="0.25">
      <c r="A89" s="22">
        <v>88</v>
      </c>
      <c r="B89" s="23" t="s">
        <v>13</v>
      </c>
      <c r="C89" s="22">
        <v>39</v>
      </c>
      <c r="D89" s="23" t="s">
        <v>15</v>
      </c>
      <c r="E89" s="24">
        <v>2735.1</v>
      </c>
      <c r="F89" s="25">
        <f t="shared" si="1"/>
        <v>43861</v>
      </c>
      <c r="G89" s="22">
        <v>149</v>
      </c>
      <c r="H89" s="23" t="s">
        <v>82</v>
      </c>
      <c r="I89" s="23" t="s">
        <v>84</v>
      </c>
    </row>
    <row r="90" spans="1:9" x14ac:dyDescent="0.25">
      <c r="A90" s="22">
        <v>89</v>
      </c>
      <c r="B90" s="23" t="s">
        <v>13</v>
      </c>
      <c r="C90" s="22">
        <v>57</v>
      </c>
      <c r="D90" s="23" t="s">
        <v>18</v>
      </c>
      <c r="E90" s="24">
        <v>4121.71</v>
      </c>
      <c r="F90" s="25">
        <f t="shared" si="1"/>
        <v>43861</v>
      </c>
      <c r="G90" s="22">
        <v>102</v>
      </c>
      <c r="H90" s="23" t="s">
        <v>81</v>
      </c>
      <c r="I90" s="23" t="s">
        <v>84</v>
      </c>
    </row>
    <row r="91" spans="1:9" x14ac:dyDescent="0.25">
      <c r="A91" s="22">
        <v>90</v>
      </c>
      <c r="B91" s="23" t="s">
        <v>13</v>
      </c>
      <c r="C91" s="22">
        <v>48</v>
      </c>
      <c r="D91" s="23" t="s">
        <v>17</v>
      </c>
      <c r="E91" s="24">
        <v>3694.21</v>
      </c>
      <c r="F91" s="25">
        <f t="shared" si="1"/>
        <v>43861</v>
      </c>
      <c r="G91" s="22">
        <v>158</v>
      </c>
      <c r="H91" s="23" t="s">
        <v>80</v>
      </c>
      <c r="I91" s="23" t="s">
        <v>84</v>
      </c>
    </row>
    <row r="92" spans="1:9" x14ac:dyDescent="0.25">
      <c r="A92" s="22">
        <v>91</v>
      </c>
      <c r="B92" s="23" t="s">
        <v>11</v>
      </c>
      <c r="C92" s="22">
        <f>0</f>
        <v>0</v>
      </c>
      <c r="D92" s="23" t="s">
        <v>16</v>
      </c>
      <c r="E92" s="24">
        <v>2687.75</v>
      </c>
      <c r="F92" s="25">
        <f t="shared" si="1"/>
        <v>43861</v>
      </c>
      <c r="G92" s="22">
        <v>198</v>
      </c>
      <c r="H92" s="23" t="s">
        <v>80</v>
      </c>
      <c r="I92" s="23" t="s">
        <v>85</v>
      </c>
    </row>
    <row r="93" spans="1:9" x14ac:dyDescent="0.25">
      <c r="A93" s="22">
        <v>92</v>
      </c>
      <c r="B93" s="23" t="s">
        <v>13</v>
      </c>
      <c r="C93" s="22">
        <v>33</v>
      </c>
      <c r="D93" s="23" t="s">
        <v>18</v>
      </c>
      <c r="E93" s="24">
        <v>3484.82</v>
      </c>
      <c r="F93" s="25">
        <f t="shared" si="1"/>
        <v>43861</v>
      </c>
      <c r="G93" s="22">
        <v>92</v>
      </c>
      <c r="H93" s="23" t="s">
        <v>80</v>
      </c>
      <c r="I93" s="23" t="s">
        <v>85</v>
      </c>
    </row>
    <row r="94" spans="1:9" x14ac:dyDescent="0.25">
      <c r="A94" s="22">
        <v>93</v>
      </c>
      <c r="B94" s="23" t="s">
        <v>11</v>
      </c>
      <c r="C94" s="22">
        <v>21</v>
      </c>
      <c r="D94" s="23" t="s">
        <v>16</v>
      </c>
      <c r="E94" s="24">
        <v>3907.01</v>
      </c>
      <c r="F94" s="25">
        <f t="shared" si="1"/>
        <v>43861</v>
      </c>
      <c r="G94" s="22">
        <v>28</v>
      </c>
      <c r="H94" s="23" t="s">
        <v>80</v>
      </c>
      <c r="I94" s="23" t="s">
        <v>84</v>
      </c>
    </row>
    <row r="95" spans="1:9" x14ac:dyDescent="0.25">
      <c r="A95" s="22">
        <v>94</v>
      </c>
      <c r="B95" s="23" t="s">
        <v>9</v>
      </c>
      <c r="C95" s="22">
        <v>24</v>
      </c>
      <c r="D95" s="23" t="s">
        <v>18</v>
      </c>
      <c r="E95" s="24">
        <v>3663.35</v>
      </c>
      <c r="F95" s="25">
        <f t="shared" si="1"/>
        <v>43861</v>
      </c>
      <c r="G95" s="22">
        <v>84</v>
      </c>
      <c r="H95" s="23" t="s">
        <v>81</v>
      </c>
      <c r="I95" s="23" t="s">
        <v>85</v>
      </c>
    </row>
    <row r="96" spans="1:9" x14ac:dyDescent="0.25">
      <c r="A96" s="22">
        <v>95</v>
      </c>
      <c r="B96" s="23" t="s">
        <v>13</v>
      </c>
      <c r="C96" s="22">
        <v>39</v>
      </c>
      <c r="D96" s="23" t="s">
        <v>18</v>
      </c>
      <c r="E96" s="24">
        <v>2718.57</v>
      </c>
      <c r="F96" s="25">
        <f t="shared" si="1"/>
        <v>43861</v>
      </c>
      <c r="G96" s="22">
        <v>178</v>
      </c>
      <c r="H96" s="23" t="s">
        <v>80</v>
      </c>
      <c r="I96" s="23" t="s">
        <v>84</v>
      </c>
    </row>
    <row r="97" spans="1:10" x14ac:dyDescent="0.25">
      <c r="A97" s="22">
        <v>96</v>
      </c>
      <c r="B97" s="23" t="s">
        <v>12</v>
      </c>
      <c r="C97" s="22">
        <v>51</v>
      </c>
      <c r="D97" s="23" t="s">
        <v>15</v>
      </c>
      <c r="E97" s="24">
        <v>4704.1400000000003</v>
      </c>
      <c r="F97" s="25">
        <f t="shared" si="1"/>
        <v>43861</v>
      </c>
      <c r="G97" s="22">
        <v>147</v>
      </c>
      <c r="H97" s="23" t="s">
        <v>82</v>
      </c>
      <c r="I97" s="23" t="s">
        <v>85</v>
      </c>
    </row>
    <row r="98" spans="1:10" x14ac:dyDescent="0.25">
      <c r="A98" s="22">
        <v>97</v>
      </c>
      <c r="B98" s="23" t="s">
        <v>9</v>
      </c>
      <c r="C98" s="22">
        <v>33</v>
      </c>
      <c r="D98" s="23" t="s">
        <v>17</v>
      </c>
      <c r="E98" s="24">
        <v>3531.2</v>
      </c>
      <c r="F98" s="25">
        <f t="shared" si="1"/>
        <v>43861</v>
      </c>
      <c r="G98" s="22">
        <v>197</v>
      </c>
      <c r="H98" s="23" t="s">
        <v>81</v>
      </c>
      <c r="I98" s="23" t="s">
        <v>85</v>
      </c>
    </row>
    <row r="99" spans="1:10" x14ac:dyDescent="0.25">
      <c r="A99" s="22">
        <v>98</v>
      </c>
      <c r="B99" s="23" t="s">
        <v>9</v>
      </c>
      <c r="C99" s="22">
        <v>48</v>
      </c>
      <c r="D99" s="23" t="s">
        <v>14</v>
      </c>
      <c r="E99" s="24">
        <v>1562.39</v>
      </c>
      <c r="F99" s="25">
        <f t="shared" si="1"/>
        <v>43861</v>
      </c>
      <c r="G99" s="22">
        <v>72</v>
      </c>
      <c r="H99" s="23" t="s">
        <v>81</v>
      </c>
      <c r="I99" s="23" t="s">
        <v>85</v>
      </c>
    </row>
    <row r="100" spans="1:10" x14ac:dyDescent="0.25">
      <c r="A100" s="22">
        <v>99</v>
      </c>
      <c r="B100" s="23" t="s">
        <v>12</v>
      </c>
      <c r="C100" s="22">
        <v>22</v>
      </c>
      <c r="D100" s="23" t="s">
        <v>15</v>
      </c>
      <c r="E100" s="24">
        <v>3526.27</v>
      </c>
      <c r="F100" s="25">
        <f t="shared" si="1"/>
        <v>43861</v>
      </c>
      <c r="G100" s="22">
        <v>23</v>
      </c>
      <c r="H100" s="23" t="s">
        <v>82</v>
      </c>
      <c r="I100" s="23" t="s">
        <v>85</v>
      </c>
    </row>
    <row r="101" spans="1:10" x14ac:dyDescent="0.25">
      <c r="A101" s="22">
        <v>100</v>
      </c>
      <c r="B101" s="23" t="s">
        <v>13</v>
      </c>
      <c r="C101" s="22">
        <v>51</v>
      </c>
      <c r="D101" s="23" t="s">
        <v>16</v>
      </c>
      <c r="E101" s="24">
        <v>4208.8999999999996</v>
      </c>
      <c r="F101" s="25">
        <f t="shared" si="1"/>
        <v>43861</v>
      </c>
      <c r="G101" s="22">
        <v>25</v>
      </c>
      <c r="H101" s="23" t="s">
        <v>80</v>
      </c>
      <c r="I101" s="23" t="s">
        <v>84</v>
      </c>
    </row>
    <row r="102" spans="1:10" x14ac:dyDescent="0.25">
      <c r="A102" s="26">
        <f>SUBTOTAL(103,Tabla2[ID])</f>
        <v>100</v>
      </c>
      <c r="B102" s="26">
        <f>SUBTOTAL(103,Tabla2[Nombre])</f>
        <v>100</v>
      </c>
      <c r="C102" s="26">
        <f>SUBTOTAL(103,Tabla2[Edad])</f>
        <v>100</v>
      </c>
      <c r="D102" s="26">
        <f>SUBTOTAL(103,Tabla2[Ciudad])</f>
        <v>100</v>
      </c>
      <c r="E102" s="26">
        <f>SUBTOTAL(103,Tabla2[Salario])</f>
        <v>100</v>
      </c>
      <c r="F102" s="26">
        <f>SUBTOTAL(103,Tabla2[Fecha de Ingreso])</f>
        <v>100</v>
      </c>
      <c r="G102" s="26">
        <f>SUBTOTAL(103,Tabla2[Horas Trabajadas])</f>
        <v>100</v>
      </c>
      <c r="H102" s="26">
        <f>SUBTOTAL(103,Tabla2[Categoría])</f>
        <v>100</v>
      </c>
      <c r="I102" s="26">
        <f>SUBTOTAL(103,Tabla2[Estado])</f>
        <v>100</v>
      </c>
      <c r="J102" s="26"/>
    </row>
  </sheetData>
  <mergeCells count="5">
    <mergeCell ref="L9:T9"/>
    <mergeCell ref="L8:T8"/>
    <mergeCell ref="L5:R5"/>
    <mergeCell ref="L6:R6"/>
    <mergeCell ref="L7:R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ADF4-EDCA-4A0C-8459-05868878620B}">
  <dimension ref="A1:I101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9.140625" style="7"/>
    <col min="2" max="2" width="9.140625" style="8"/>
    <col min="3" max="3" width="9.140625" style="7"/>
    <col min="4" max="4" width="15.5703125" style="8" customWidth="1"/>
    <col min="5" max="5" width="9.5703125" style="10" bestFit="1" customWidth="1"/>
    <col min="6" max="6" width="16.42578125" style="12" customWidth="1"/>
    <col min="7" max="7" width="16.28515625" style="2" customWidth="1"/>
    <col min="8" max="8" width="10.5703125" style="2" customWidth="1"/>
    <col min="9" max="9" width="10" style="2" customWidth="1"/>
  </cols>
  <sheetData>
    <row r="1" spans="1:9" x14ac:dyDescent="0.25">
      <c r="A1" s="5" t="s">
        <v>0</v>
      </c>
      <c r="B1" s="6" t="s">
        <v>1</v>
      </c>
      <c r="C1" s="5" t="s">
        <v>2</v>
      </c>
      <c r="D1" s="6" t="s">
        <v>3</v>
      </c>
      <c r="E1" s="9" t="s">
        <v>4</v>
      </c>
      <c r="F1" s="1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7">
        <v>1</v>
      </c>
      <c r="B2" s="8" t="s">
        <v>9</v>
      </c>
      <c r="C2" s="7">
        <v>19</v>
      </c>
      <c r="D2" s="8" t="s">
        <v>14</v>
      </c>
      <c r="E2" s="10">
        <v>3348.98</v>
      </c>
      <c r="F2" s="12">
        <v>43861</v>
      </c>
      <c r="G2" s="2">
        <v>149</v>
      </c>
      <c r="H2" s="2" t="s">
        <v>80</v>
      </c>
      <c r="I2" s="2" t="s">
        <v>84</v>
      </c>
    </row>
    <row r="3" spans="1:9" x14ac:dyDescent="0.25">
      <c r="A3" s="7">
        <v>2</v>
      </c>
      <c r="B3" s="8" t="s">
        <v>10</v>
      </c>
      <c r="C3" s="7">
        <v>64</v>
      </c>
      <c r="D3" s="8" t="s">
        <v>15</v>
      </c>
      <c r="E3" s="10">
        <v>4132.72</v>
      </c>
      <c r="F3" s="12" t="s">
        <v>19</v>
      </c>
      <c r="G3" s="2">
        <v>148</v>
      </c>
      <c r="H3" s="2" t="s">
        <v>81</v>
      </c>
      <c r="I3" s="2" t="s">
        <v>84</v>
      </c>
    </row>
    <row r="4" spans="1:9" x14ac:dyDescent="0.25">
      <c r="A4" s="7">
        <v>3</v>
      </c>
      <c r="B4" s="8" t="s">
        <v>10</v>
      </c>
      <c r="C4" s="7">
        <v>63</v>
      </c>
      <c r="D4" s="8" t="s">
        <v>16</v>
      </c>
      <c r="E4" s="10">
        <v>2941.21</v>
      </c>
      <c r="F4" s="12" t="s">
        <v>20</v>
      </c>
      <c r="G4" s="2">
        <v>139</v>
      </c>
      <c r="H4" s="2" t="s">
        <v>80</v>
      </c>
      <c r="I4" s="2" t="s">
        <v>85</v>
      </c>
    </row>
    <row r="5" spans="1:9" x14ac:dyDescent="0.25">
      <c r="A5" s="7">
        <v>4</v>
      </c>
      <c r="B5" s="8" t="s">
        <v>11</v>
      </c>
      <c r="C5" s="7">
        <v>34</v>
      </c>
      <c r="D5" s="8" t="s">
        <v>14</v>
      </c>
      <c r="E5" s="10">
        <v>4563.3599999999997</v>
      </c>
      <c r="F5" s="12" t="s">
        <v>21</v>
      </c>
      <c r="G5" s="2">
        <v>108</v>
      </c>
      <c r="H5" s="2" t="s">
        <v>80</v>
      </c>
      <c r="I5" s="2" t="s">
        <v>84</v>
      </c>
    </row>
    <row r="6" spans="1:9" x14ac:dyDescent="0.25">
      <c r="A6" s="7">
        <v>5</v>
      </c>
      <c r="B6" s="8" t="s">
        <v>12</v>
      </c>
      <c r="C6" s="7">
        <v>38</v>
      </c>
      <c r="D6" s="8" t="s">
        <v>14</v>
      </c>
      <c r="E6" s="10">
        <v>3408.29</v>
      </c>
      <c r="F6" s="12" t="s">
        <v>22</v>
      </c>
      <c r="G6" s="2">
        <v>185</v>
      </c>
      <c r="H6" s="2" t="s">
        <v>81</v>
      </c>
      <c r="I6" s="2" t="s">
        <v>85</v>
      </c>
    </row>
    <row r="7" spans="1:9" x14ac:dyDescent="0.25">
      <c r="A7" s="7">
        <v>6</v>
      </c>
      <c r="B7" s="8" t="s">
        <v>12</v>
      </c>
      <c r="C7" s="7">
        <v>23</v>
      </c>
      <c r="D7" s="8" t="s">
        <v>16</v>
      </c>
      <c r="E7" s="10">
        <v>1570.91</v>
      </c>
      <c r="F7" s="12" t="s">
        <v>23</v>
      </c>
      <c r="G7" s="2">
        <v>40</v>
      </c>
      <c r="H7" s="2" t="s">
        <v>81</v>
      </c>
      <c r="I7" s="2" t="s">
        <v>85</v>
      </c>
    </row>
    <row r="8" spans="1:9" x14ac:dyDescent="0.25">
      <c r="A8" s="7">
        <v>7</v>
      </c>
      <c r="B8" s="8" t="s">
        <v>10</v>
      </c>
      <c r="C8" s="7">
        <v>51</v>
      </c>
      <c r="D8" s="8" t="s">
        <v>16</v>
      </c>
      <c r="E8" s="10">
        <v>1665.25</v>
      </c>
      <c r="F8" s="12" t="s">
        <v>24</v>
      </c>
      <c r="G8" s="2">
        <v>161</v>
      </c>
      <c r="H8" s="2" t="s">
        <v>82</v>
      </c>
      <c r="I8" s="2" t="s">
        <v>85</v>
      </c>
    </row>
    <row r="9" spans="1:9" x14ac:dyDescent="0.25">
      <c r="A9" s="7">
        <v>8</v>
      </c>
      <c r="B9" s="8" t="s">
        <v>12</v>
      </c>
      <c r="C9" s="7">
        <v>18</v>
      </c>
      <c r="D9" s="8" t="s">
        <v>14</v>
      </c>
      <c r="E9" s="10">
        <v>1907.27</v>
      </c>
      <c r="F9" s="12" t="s">
        <v>25</v>
      </c>
      <c r="G9" s="2">
        <v>61</v>
      </c>
      <c r="H9" s="2" t="s">
        <v>82</v>
      </c>
      <c r="I9" s="2" t="s">
        <v>84</v>
      </c>
    </row>
    <row r="10" spans="1:9" x14ac:dyDescent="0.25">
      <c r="A10" s="7">
        <v>9</v>
      </c>
      <c r="B10" s="8" t="s">
        <v>9</v>
      </c>
      <c r="C10" s="7">
        <v>51</v>
      </c>
      <c r="D10" s="8" t="s">
        <v>17</v>
      </c>
      <c r="E10" s="10">
        <v>1667.94</v>
      </c>
      <c r="F10" s="12" t="s">
        <v>26</v>
      </c>
      <c r="G10" s="2">
        <v>21</v>
      </c>
      <c r="H10" s="2" t="s">
        <v>82</v>
      </c>
      <c r="I10" s="2" t="s">
        <v>85</v>
      </c>
    </row>
    <row r="11" spans="1:9" x14ac:dyDescent="0.25">
      <c r="A11" s="7">
        <v>10</v>
      </c>
      <c r="B11" s="8" t="s">
        <v>12</v>
      </c>
      <c r="C11" s="7">
        <v>45</v>
      </c>
      <c r="D11" s="8" t="s">
        <v>14</v>
      </c>
      <c r="E11" s="10">
        <v>2412.69</v>
      </c>
      <c r="F11" s="12" t="s">
        <v>27</v>
      </c>
      <c r="G11" s="2">
        <v>146</v>
      </c>
      <c r="H11" s="2" t="s">
        <v>80</v>
      </c>
      <c r="I11" s="2" t="s">
        <v>84</v>
      </c>
    </row>
    <row r="12" spans="1:9" x14ac:dyDescent="0.25">
      <c r="A12" s="7">
        <v>11</v>
      </c>
      <c r="B12" s="8" t="s">
        <v>11</v>
      </c>
      <c r="C12" s="7">
        <v>28</v>
      </c>
      <c r="D12" s="8" t="s">
        <v>14</v>
      </c>
      <c r="E12" s="10">
        <v>3153.71</v>
      </c>
      <c r="F12" s="12" t="s">
        <v>28</v>
      </c>
      <c r="G12" s="2">
        <v>65</v>
      </c>
      <c r="H12" s="2" t="s">
        <v>81</v>
      </c>
      <c r="I12" s="2" t="s">
        <v>84</v>
      </c>
    </row>
    <row r="13" spans="1:9" x14ac:dyDescent="0.25">
      <c r="A13" s="7">
        <v>12</v>
      </c>
      <c r="B13" s="8" t="s">
        <v>9</v>
      </c>
      <c r="C13" s="7">
        <v>57</v>
      </c>
      <c r="D13" s="8" t="s">
        <v>16</v>
      </c>
      <c r="E13" s="10">
        <v>2854.92</v>
      </c>
      <c r="F13" s="12" t="s">
        <v>29</v>
      </c>
      <c r="H13" s="2" t="s">
        <v>82</v>
      </c>
      <c r="I13" s="2" t="s">
        <v>85</v>
      </c>
    </row>
    <row r="14" spans="1:9" x14ac:dyDescent="0.25">
      <c r="A14" s="7">
        <v>13</v>
      </c>
      <c r="B14" s="8" t="s">
        <v>12</v>
      </c>
      <c r="C14" s="7">
        <v>25</v>
      </c>
      <c r="D14" s="8" t="s">
        <v>14</v>
      </c>
      <c r="E14" s="10">
        <v>4094.61</v>
      </c>
      <c r="F14" s="12" t="s">
        <v>30</v>
      </c>
      <c r="G14" s="2">
        <v>29</v>
      </c>
      <c r="H14" s="2" t="s">
        <v>83</v>
      </c>
      <c r="I14" s="2" t="s">
        <v>85</v>
      </c>
    </row>
    <row r="15" spans="1:9" x14ac:dyDescent="0.25">
      <c r="A15" s="7">
        <v>14</v>
      </c>
      <c r="B15" s="8" t="s">
        <v>10</v>
      </c>
      <c r="C15" s="7">
        <v>49</v>
      </c>
      <c r="D15" s="8" t="s">
        <v>16</v>
      </c>
      <c r="E15" s="10">
        <v>3623.68</v>
      </c>
      <c r="F15" s="12" t="s">
        <v>31</v>
      </c>
      <c r="G15" s="2">
        <v>140</v>
      </c>
      <c r="H15" s="2" t="s">
        <v>80</v>
      </c>
      <c r="I15" s="2" t="s">
        <v>84</v>
      </c>
    </row>
    <row r="16" spans="1:9" x14ac:dyDescent="0.25">
      <c r="A16" s="7">
        <v>15</v>
      </c>
      <c r="B16" s="8" t="s">
        <v>13</v>
      </c>
      <c r="C16" s="7">
        <v>18</v>
      </c>
      <c r="D16" s="8" t="s">
        <v>17</v>
      </c>
      <c r="E16" s="10">
        <v>2098.2600000000002</v>
      </c>
      <c r="F16" s="12" t="s">
        <v>32</v>
      </c>
      <c r="G16" s="2">
        <v>120</v>
      </c>
      <c r="H16" s="2" t="s">
        <v>82</v>
      </c>
      <c r="I16" s="2" t="s">
        <v>84</v>
      </c>
    </row>
    <row r="17" spans="1:9" x14ac:dyDescent="0.25">
      <c r="A17" s="7">
        <v>16</v>
      </c>
      <c r="B17" s="8" t="s">
        <v>11</v>
      </c>
      <c r="C17" s="7">
        <v>22</v>
      </c>
      <c r="D17" s="8" t="s">
        <v>14</v>
      </c>
      <c r="E17" s="10">
        <v>1674.57</v>
      </c>
      <c r="F17" s="12" t="s">
        <v>33</v>
      </c>
      <c r="G17" s="2">
        <v>59</v>
      </c>
      <c r="H17" s="2" t="s">
        <v>80</v>
      </c>
      <c r="I17" s="2" t="s">
        <v>85</v>
      </c>
    </row>
    <row r="18" spans="1:9" x14ac:dyDescent="0.25">
      <c r="A18" s="7">
        <v>17</v>
      </c>
      <c r="B18" s="8" t="s">
        <v>12</v>
      </c>
      <c r="C18" s="7">
        <v>52</v>
      </c>
      <c r="D18" s="8" t="s">
        <v>18</v>
      </c>
      <c r="E18" s="10">
        <v>3735.39</v>
      </c>
      <c r="F18" s="12" t="s">
        <v>34</v>
      </c>
      <c r="G18" s="2">
        <v>195</v>
      </c>
      <c r="H18" s="2" t="s">
        <v>83</v>
      </c>
      <c r="I18" s="2" t="s">
        <v>85</v>
      </c>
    </row>
    <row r="19" spans="1:9" x14ac:dyDescent="0.25">
      <c r="A19" s="7">
        <v>18</v>
      </c>
      <c r="B19" s="8" t="s">
        <v>12</v>
      </c>
      <c r="C19" s="7">
        <v>56</v>
      </c>
      <c r="D19" s="8" t="s">
        <v>14</v>
      </c>
      <c r="E19" s="10">
        <v>2780.52</v>
      </c>
      <c r="F19" s="12" t="s">
        <v>35</v>
      </c>
      <c r="G19" s="2">
        <v>169</v>
      </c>
      <c r="H19" s="2" t="s">
        <v>80</v>
      </c>
      <c r="I19" s="2" t="s">
        <v>84</v>
      </c>
    </row>
    <row r="20" spans="1:9" x14ac:dyDescent="0.25">
      <c r="A20" s="7">
        <v>19</v>
      </c>
      <c r="B20" s="8" t="s">
        <v>9</v>
      </c>
      <c r="C20" s="7">
        <v>48</v>
      </c>
      <c r="D20" s="8" t="s">
        <v>18</v>
      </c>
      <c r="E20" s="10">
        <v>3502.9</v>
      </c>
      <c r="F20" s="12" t="s">
        <v>36</v>
      </c>
      <c r="G20" s="2">
        <v>74</v>
      </c>
      <c r="H20" s="2" t="s">
        <v>81</v>
      </c>
      <c r="I20" s="2" t="s">
        <v>85</v>
      </c>
    </row>
    <row r="21" spans="1:9" x14ac:dyDescent="0.25">
      <c r="A21" s="7">
        <v>20</v>
      </c>
      <c r="B21" s="8" t="s">
        <v>11</v>
      </c>
      <c r="C21" s="7">
        <v>19</v>
      </c>
      <c r="D21" s="8" t="s">
        <v>15</v>
      </c>
      <c r="E21" s="10">
        <v>1668.24</v>
      </c>
      <c r="F21" s="12" t="s">
        <v>37</v>
      </c>
      <c r="G21" s="2">
        <v>148</v>
      </c>
      <c r="H21" s="2" t="s">
        <v>82</v>
      </c>
      <c r="I21" s="2" t="s">
        <v>84</v>
      </c>
    </row>
    <row r="22" spans="1:9" x14ac:dyDescent="0.25">
      <c r="A22" s="7">
        <v>21</v>
      </c>
      <c r="B22" s="8" t="s">
        <v>10</v>
      </c>
      <c r="C22" s="7">
        <v>26</v>
      </c>
      <c r="D22" s="8" t="s">
        <v>18</v>
      </c>
      <c r="E22" s="10">
        <v>3163.59</v>
      </c>
      <c r="F22" s="12" t="s">
        <v>38</v>
      </c>
      <c r="G22" s="2">
        <v>39</v>
      </c>
      <c r="H22" s="2" t="s">
        <v>80</v>
      </c>
      <c r="I22" s="2" t="s">
        <v>85</v>
      </c>
    </row>
    <row r="23" spans="1:9" x14ac:dyDescent="0.25">
      <c r="A23" s="7">
        <v>22</v>
      </c>
      <c r="B23" s="8" t="s">
        <v>9</v>
      </c>
      <c r="C23" s="7">
        <v>24</v>
      </c>
      <c r="D23" s="8" t="s">
        <v>18</v>
      </c>
      <c r="E23" s="10">
        <v>1994.26</v>
      </c>
      <c r="F23" s="12" t="s">
        <v>39</v>
      </c>
      <c r="G23" s="2">
        <v>49</v>
      </c>
      <c r="H23" s="2" t="s">
        <v>80</v>
      </c>
      <c r="I23" s="2" t="s">
        <v>85</v>
      </c>
    </row>
    <row r="24" spans="1:9" x14ac:dyDescent="0.25">
      <c r="A24" s="7">
        <v>23</v>
      </c>
      <c r="B24" s="8" t="s">
        <v>13</v>
      </c>
      <c r="C24" s="7">
        <v>43</v>
      </c>
      <c r="D24" s="8" t="s">
        <v>18</v>
      </c>
      <c r="E24" s="10">
        <v>4801.53</v>
      </c>
      <c r="F24" s="12" t="s">
        <v>40</v>
      </c>
      <c r="G24" s="2">
        <v>45</v>
      </c>
      <c r="H24" s="2" t="s">
        <v>82</v>
      </c>
      <c r="I24" s="2" t="s">
        <v>84</v>
      </c>
    </row>
    <row r="25" spans="1:9" x14ac:dyDescent="0.25">
      <c r="A25" s="7">
        <v>24</v>
      </c>
      <c r="B25" s="8" t="s">
        <v>11</v>
      </c>
      <c r="C25" s="7">
        <v>46</v>
      </c>
      <c r="D25" s="8" t="s">
        <v>16</v>
      </c>
      <c r="E25" s="10">
        <v>2640.66</v>
      </c>
      <c r="F25" s="12" t="s">
        <v>41</v>
      </c>
      <c r="G25" s="2">
        <v>94</v>
      </c>
      <c r="H25" s="2" t="s">
        <v>82</v>
      </c>
      <c r="I25" s="2" t="s">
        <v>85</v>
      </c>
    </row>
    <row r="26" spans="1:9" x14ac:dyDescent="0.25">
      <c r="A26" s="7">
        <v>25</v>
      </c>
      <c r="B26" s="8" t="s">
        <v>11</v>
      </c>
      <c r="C26" s="7">
        <v>37</v>
      </c>
      <c r="D26" s="8" t="s">
        <v>14</v>
      </c>
      <c r="E26" s="10">
        <v>3518.04</v>
      </c>
      <c r="F26" s="12" t="s">
        <v>42</v>
      </c>
      <c r="G26" s="2">
        <v>121</v>
      </c>
      <c r="H26" s="2" t="s">
        <v>80</v>
      </c>
      <c r="I26" s="2" t="s">
        <v>84</v>
      </c>
    </row>
    <row r="27" spans="1:9" x14ac:dyDescent="0.25">
      <c r="A27" s="7">
        <v>26</v>
      </c>
      <c r="B27" s="8" t="s">
        <v>13</v>
      </c>
      <c r="C27" s="7">
        <v>39</v>
      </c>
      <c r="D27" s="8" t="s">
        <v>14</v>
      </c>
      <c r="E27" s="10">
        <v>2122.2600000000002</v>
      </c>
      <c r="F27" s="12" t="s">
        <v>43</v>
      </c>
      <c r="G27" s="2">
        <v>199</v>
      </c>
      <c r="H27" s="2" t="s">
        <v>82</v>
      </c>
      <c r="I27" s="2" t="s">
        <v>85</v>
      </c>
    </row>
    <row r="28" spans="1:9" x14ac:dyDescent="0.25">
      <c r="A28" s="7">
        <v>27</v>
      </c>
      <c r="B28" s="8" t="s">
        <v>11</v>
      </c>
      <c r="C28" s="7">
        <v>30</v>
      </c>
      <c r="D28" s="8" t="s">
        <v>17</v>
      </c>
      <c r="E28" s="10">
        <v>2206.5700000000002</v>
      </c>
      <c r="F28" s="12" t="s">
        <v>44</v>
      </c>
      <c r="G28" s="2">
        <v>197</v>
      </c>
      <c r="H28" s="2" t="s">
        <v>80</v>
      </c>
      <c r="I28" s="2" t="s">
        <v>85</v>
      </c>
    </row>
    <row r="29" spans="1:9" x14ac:dyDescent="0.25">
      <c r="A29" s="7">
        <v>28</v>
      </c>
      <c r="B29" s="8" t="s">
        <v>11</v>
      </c>
      <c r="C29" s="7">
        <v>35</v>
      </c>
      <c r="D29" s="8" t="s">
        <v>14</v>
      </c>
      <c r="E29" s="10">
        <v>2840.16</v>
      </c>
      <c r="F29" s="12" t="s">
        <v>45</v>
      </c>
      <c r="G29" s="2">
        <v>157</v>
      </c>
      <c r="H29" s="2" t="s">
        <v>83</v>
      </c>
      <c r="I29" s="2" t="s">
        <v>85</v>
      </c>
    </row>
    <row r="30" spans="1:9" x14ac:dyDescent="0.25">
      <c r="A30" s="7">
        <v>29</v>
      </c>
      <c r="B30" s="8" t="s">
        <v>11</v>
      </c>
      <c r="D30" s="8" t="s">
        <v>16</v>
      </c>
      <c r="E30" s="10">
        <v>3518.85</v>
      </c>
      <c r="F30" s="12" t="s">
        <v>46</v>
      </c>
      <c r="G30" s="2">
        <v>70</v>
      </c>
      <c r="H30" s="2" t="s">
        <v>83</v>
      </c>
      <c r="I30" s="2" t="s">
        <v>84</v>
      </c>
    </row>
    <row r="31" spans="1:9" x14ac:dyDescent="0.25">
      <c r="A31" s="7">
        <v>30</v>
      </c>
      <c r="B31" s="8" t="s">
        <v>9</v>
      </c>
      <c r="C31" s="7">
        <v>31</v>
      </c>
      <c r="D31" s="8" t="s">
        <v>18</v>
      </c>
      <c r="E31" s="10">
        <v>3905.43</v>
      </c>
      <c r="F31" s="12" t="s">
        <v>47</v>
      </c>
      <c r="G31" s="2">
        <v>87</v>
      </c>
      <c r="H31" s="2" t="s">
        <v>80</v>
      </c>
      <c r="I31" s="2" t="s">
        <v>84</v>
      </c>
    </row>
    <row r="32" spans="1:9" x14ac:dyDescent="0.25">
      <c r="A32" s="7">
        <v>31</v>
      </c>
      <c r="B32" s="8" t="s">
        <v>13</v>
      </c>
      <c r="C32" s="7">
        <v>55</v>
      </c>
      <c r="D32" s="8" t="s">
        <v>18</v>
      </c>
      <c r="E32" s="10">
        <v>1893.35</v>
      </c>
      <c r="F32" s="12" t="s">
        <v>48</v>
      </c>
      <c r="G32" s="2">
        <v>71</v>
      </c>
      <c r="H32" s="2" t="s">
        <v>82</v>
      </c>
      <c r="I32" s="2" t="s">
        <v>85</v>
      </c>
    </row>
    <row r="33" spans="1:9" x14ac:dyDescent="0.25">
      <c r="A33" s="7">
        <v>32</v>
      </c>
      <c r="B33" s="8" t="s">
        <v>10</v>
      </c>
      <c r="C33" s="7">
        <v>26</v>
      </c>
      <c r="D33" s="8" t="s">
        <v>18</v>
      </c>
      <c r="E33" s="10">
        <v>4817.01</v>
      </c>
      <c r="F33" s="12" t="s">
        <v>49</v>
      </c>
      <c r="G33" s="2">
        <v>198</v>
      </c>
      <c r="H33" s="2" t="s">
        <v>81</v>
      </c>
      <c r="I33" s="2" t="s">
        <v>84</v>
      </c>
    </row>
    <row r="34" spans="1:9" x14ac:dyDescent="0.25">
      <c r="A34" s="7">
        <v>33</v>
      </c>
      <c r="B34" s="8" t="s">
        <v>11</v>
      </c>
      <c r="C34" s="7">
        <v>25</v>
      </c>
      <c r="D34" s="8" t="s">
        <v>18</v>
      </c>
      <c r="E34" s="10">
        <v>3263.76</v>
      </c>
      <c r="F34" s="12" t="s">
        <v>50</v>
      </c>
      <c r="G34" s="2">
        <v>59</v>
      </c>
      <c r="H34" s="2" t="s">
        <v>81</v>
      </c>
      <c r="I34" s="2" t="s">
        <v>85</v>
      </c>
    </row>
    <row r="35" spans="1:9" x14ac:dyDescent="0.25">
      <c r="A35" s="7">
        <v>34</v>
      </c>
      <c r="B35" s="8" t="s">
        <v>9</v>
      </c>
      <c r="C35" s="7">
        <v>44</v>
      </c>
      <c r="D35" s="8" t="s">
        <v>17</v>
      </c>
      <c r="E35" s="10">
        <v>4720.62</v>
      </c>
      <c r="F35" s="12" t="s">
        <v>51</v>
      </c>
      <c r="G35" s="2">
        <v>133</v>
      </c>
      <c r="H35" s="2" t="s">
        <v>81</v>
      </c>
      <c r="I35" s="2" t="s">
        <v>85</v>
      </c>
    </row>
    <row r="36" spans="1:9" x14ac:dyDescent="0.25">
      <c r="A36" s="7">
        <v>35</v>
      </c>
      <c r="B36" s="8" t="s">
        <v>11</v>
      </c>
      <c r="C36" s="7">
        <v>47</v>
      </c>
      <c r="D36" s="8" t="s">
        <v>17</v>
      </c>
      <c r="E36" s="10">
        <v>2295.0300000000002</v>
      </c>
      <c r="F36" s="12" t="s">
        <v>52</v>
      </c>
      <c r="G36" s="2">
        <v>43</v>
      </c>
      <c r="H36" s="2" t="s">
        <v>82</v>
      </c>
      <c r="I36" s="2" t="s">
        <v>84</v>
      </c>
    </row>
    <row r="37" spans="1:9" x14ac:dyDescent="0.25">
      <c r="A37" s="7">
        <v>36</v>
      </c>
      <c r="B37" s="8" t="s">
        <v>12</v>
      </c>
      <c r="C37" s="7">
        <v>57</v>
      </c>
      <c r="D37" s="8" t="s">
        <v>16</v>
      </c>
      <c r="E37" s="10">
        <v>1679.19</v>
      </c>
      <c r="F37" s="12" t="s">
        <v>53</v>
      </c>
      <c r="G37" s="2">
        <v>39</v>
      </c>
      <c r="H37" s="2" t="s">
        <v>82</v>
      </c>
      <c r="I37" s="2" t="s">
        <v>85</v>
      </c>
    </row>
    <row r="38" spans="1:9" x14ac:dyDescent="0.25">
      <c r="A38" s="7">
        <v>37</v>
      </c>
      <c r="B38" s="8" t="s">
        <v>11</v>
      </c>
      <c r="C38" s="7">
        <v>52</v>
      </c>
      <c r="D38" s="8" t="s">
        <v>15</v>
      </c>
      <c r="E38" s="10">
        <v>4965</v>
      </c>
      <c r="F38" s="12" t="s">
        <v>54</v>
      </c>
      <c r="G38" s="2">
        <v>181</v>
      </c>
      <c r="H38" s="2" t="s">
        <v>80</v>
      </c>
      <c r="I38" s="2" t="s">
        <v>84</v>
      </c>
    </row>
    <row r="39" spans="1:9" x14ac:dyDescent="0.25">
      <c r="A39" s="7">
        <v>38</v>
      </c>
      <c r="B39" s="8" t="s">
        <v>12</v>
      </c>
      <c r="C39" s="7">
        <v>29</v>
      </c>
      <c r="D39" s="8" t="s">
        <v>14</v>
      </c>
      <c r="E39" s="10">
        <v>2249.7800000000002</v>
      </c>
      <c r="F39" s="12" t="s">
        <v>55</v>
      </c>
      <c r="G39" s="2">
        <v>157</v>
      </c>
      <c r="H39" s="2" t="s">
        <v>83</v>
      </c>
      <c r="I39" s="2" t="s">
        <v>85</v>
      </c>
    </row>
    <row r="40" spans="1:9" x14ac:dyDescent="0.25">
      <c r="A40" s="7">
        <v>39</v>
      </c>
      <c r="B40" s="8" t="s">
        <v>12</v>
      </c>
      <c r="C40" s="7">
        <v>47</v>
      </c>
      <c r="D40" s="8" t="s">
        <v>16</v>
      </c>
      <c r="E40" s="10">
        <v>2922.24</v>
      </c>
      <c r="F40" s="12" t="s">
        <v>56</v>
      </c>
      <c r="G40" s="2">
        <v>177</v>
      </c>
      <c r="H40" s="2" t="s">
        <v>83</v>
      </c>
      <c r="I40" s="2" t="s">
        <v>84</v>
      </c>
    </row>
    <row r="41" spans="1:9" x14ac:dyDescent="0.25">
      <c r="A41" s="7">
        <v>40</v>
      </c>
      <c r="B41" s="8" t="s">
        <v>9</v>
      </c>
      <c r="C41" s="7">
        <v>62</v>
      </c>
      <c r="D41" s="8" t="s">
        <v>16</v>
      </c>
      <c r="F41" s="12" t="s">
        <v>57</v>
      </c>
      <c r="G41" s="2">
        <v>83</v>
      </c>
      <c r="H41" s="2" t="s">
        <v>82</v>
      </c>
      <c r="I41" s="2" t="s">
        <v>84</v>
      </c>
    </row>
    <row r="42" spans="1:9" x14ac:dyDescent="0.25">
      <c r="A42" s="7">
        <v>41</v>
      </c>
      <c r="B42" s="8" t="s">
        <v>9</v>
      </c>
      <c r="C42" s="7">
        <v>49</v>
      </c>
      <c r="D42" s="8" t="s">
        <v>16</v>
      </c>
      <c r="E42" s="10">
        <v>4746.34</v>
      </c>
      <c r="F42" s="12" t="s">
        <v>58</v>
      </c>
      <c r="G42" s="2">
        <v>84</v>
      </c>
      <c r="H42" s="2" t="s">
        <v>82</v>
      </c>
      <c r="I42" s="2" t="s">
        <v>84</v>
      </c>
    </row>
    <row r="43" spans="1:9" x14ac:dyDescent="0.25">
      <c r="A43" s="7">
        <v>42</v>
      </c>
      <c r="B43" s="8" t="s">
        <v>9</v>
      </c>
      <c r="C43" s="7">
        <v>52</v>
      </c>
      <c r="D43" s="8" t="s">
        <v>15</v>
      </c>
      <c r="E43" s="10">
        <v>4118.12</v>
      </c>
      <c r="F43" s="12" t="s">
        <v>59</v>
      </c>
      <c r="G43" s="2">
        <v>61</v>
      </c>
      <c r="H43" s="2" t="s">
        <v>82</v>
      </c>
      <c r="I43" s="2" t="s">
        <v>84</v>
      </c>
    </row>
    <row r="44" spans="1:9" x14ac:dyDescent="0.25">
      <c r="A44" s="7">
        <v>43</v>
      </c>
      <c r="B44" s="8" t="s">
        <v>13</v>
      </c>
      <c r="C44" s="7">
        <v>53</v>
      </c>
      <c r="D44" s="8" t="s">
        <v>14</v>
      </c>
      <c r="E44" s="10">
        <v>4424.3599999999997</v>
      </c>
      <c r="F44" s="12" t="s">
        <v>60</v>
      </c>
      <c r="G44" s="2">
        <v>109</v>
      </c>
      <c r="H44" s="2" t="s">
        <v>81</v>
      </c>
      <c r="I44" s="2" t="s">
        <v>85</v>
      </c>
    </row>
    <row r="45" spans="1:9" x14ac:dyDescent="0.25">
      <c r="A45" s="7">
        <v>44</v>
      </c>
      <c r="B45" s="8" t="s">
        <v>10</v>
      </c>
      <c r="C45" s="7">
        <v>45</v>
      </c>
      <c r="D45" s="8" t="s">
        <v>14</v>
      </c>
      <c r="E45" s="10">
        <v>2180.58</v>
      </c>
      <c r="F45" s="12" t="s">
        <v>61</v>
      </c>
      <c r="G45" s="2">
        <v>39</v>
      </c>
      <c r="H45" s="2" t="s">
        <v>81</v>
      </c>
      <c r="I45" s="2" t="s">
        <v>84</v>
      </c>
    </row>
    <row r="46" spans="1:9" x14ac:dyDescent="0.25">
      <c r="A46" s="7">
        <v>45</v>
      </c>
      <c r="B46" s="8" t="s">
        <v>13</v>
      </c>
      <c r="C46" s="7">
        <v>57</v>
      </c>
      <c r="D46" s="8" t="s">
        <v>14</v>
      </c>
      <c r="E46" s="10">
        <v>4407.28</v>
      </c>
      <c r="F46" s="12" t="s">
        <v>62</v>
      </c>
      <c r="G46" s="2">
        <v>140</v>
      </c>
      <c r="H46" s="2" t="s">
        <v>82</v>
      </c>
      <c r="I46" s="2" t="s">
        <v>84</v>
      </c>
    </row>
    <row r="47" spans="1:9" x14ac:dyDescent="0.25">
      <c r="A47" s="7">
        <v>46</v>
      </c>
      <c r="B47" s="8" t="s">
        <v>12</v>
      </c>
      <c r="C47" s="7">
        <v>43</v>
      </c>
      <c r="D47" s="8" t="s">
        <v>14</v>
      </c>
      <c r="E47" s="10">
        <v>2960.08</v>
      </c>
      <c r="F47" s="12" t="s">
        <v>63</v>
      </c>
      <c r="G47" s="2">
        <v>78</v>
      </c>
      <c r="H47" s="2" t="s">
        <v>80</v>
      </c>
      <c r="I47" s="2" t="s">
        <v>85</v>
      </c>
    </row>
    <row r="48" spans="1:9" x14ac:dyDescent="0.25">
      <c r="A48" s="7">
        <v>47</v>
      </c>
      <c r="B48" s="8" t="s">
        <v>10</v>
      </c>
      <c r="C48" s="7">
        <v>48</v>
      </c>
      <c r="D48" s="8" t="s">
        <v>17</v>
      </c>
      <c r="E48" s="10">
        <v>3915.26</v>
      </c>
      <c r="F48" s="12" t="s">
        <v>64</v>
      </c>
      <c r="G48" s="2">
        <v>29</v>
      </c>
      <c r="H48" s="2" t="s">
        <v>82</v>
      </c>
      <c r="I48" s="2" t="s">
        <v>85</v>
      </c>
    </row>
    <row r="49" spans="1:9" x14ac:dyDescent="0.25">
      <c r="A49" s="7">
        <v>48</v>
      </c>
      <c r="B49" s="8" t="s">
        <v>13</v>
      </c>
      <c r="C49" s="7">
        <v>19</v>
      </c>
      <c r="D49" s="8" t="s">
        <v>18</v>
      </c>
      <c r="E49" s="10">
        <v>2235.94</v>
      </c>
      <c r="F49" s="12" t="s">
        <v>65</v>
      </c>
      <c r="G49" s="2">
        <v>170</v>
      </c>
      <c r="H49" s="2" t="s">
        <v>81</v>
      </c>
      <c r="I49" s="2" t="s">
        <v>85</v>
      </c>
    </row>
    <row r="50" spans="1:9" x14ac:dyDescent="0.25">
      <c r="A50" s="7">
        <v>49</v>
      </c>
      <c r="B50" s="8" t="s">
        <v>11</v>
      </c>
      <c r="C50" s="7">
        <v>35</v>
      </c>
      <c r="D50" s="8" t="s">
        <v>16</v>
      </c>
      <c r="E50" s="10">
        <v>4161.1099999999997</v>
      </c>
      <c r="F50" s="12" t="s">
        <v>66</v>
      </c>
      <c r="G50" s="2">
        <v>174</v>
      </c>
      <c r="H50" s="2" t="s">
        <v>83</v>
      </c>
      <c r="I50" s="2" t="s">
        <v>84</v>
      </c>
    </row>
    <row r="51" spans="1:9" x14ac:dyDescent="0.25">
      <c r="A51" s="7">
        <v>50</v>
      </c>
      <c r="B51" s="8" t="s">
        <v>13</v>
      </c>
      <c r="C51" s="7">
        <v>31</v>
      </c>
      <c r="D51" s="8" t="s">
        <v>16</v>
      </c>
      <c r="E51" s="10">
        <v>2652.67</v>
      </c>
      <c r="F51" s="12" t="s">
        <v>67</v>
      </c>
      <c r="G51" s="2">
        <v>72</v>
      </c>
      <c r="H51" s="2" t="s">
        <v>83</v>
      </c>
      <c r="I51" s="2" t="s">
        <v>85</v>
      </c>
    </row>
    <row r="52" spans="1:9" x14ac:dyDescent="0.25">
      <c r="A52" s="7">
        <v>51</v>
      </c>
      <c r="B52" s="8" t="s">
        <v>11</v>
      </c>
      <c r="C52" s="7">
        <v>44</v>
      </c>
      <c r="D52" s="8" t="s">
        <v>18</v>
      </c>
      <c r="E52" s="10">
        <v>2123.8000000000002</v>
      </c>
      <c r="F52" s="12" t="s">
        <v>30</v>
      </c>
      <c r="G52" s="2">
        <v>178</v>
      </c>
      <c r="H52" s="2" t="s">
        <v>81</v>
      </c>
      <c r="I52" s="2" t="s">
        <v>84</v>
      </c>
    </row>
    <row r="53" spans="1:9" x14ac:dyDescent="0.25">
      <c r="A53" s="7">
        <v>52</v>
      </c>
      <c r="B53" s="8" t="s">
        <v>12</v>
      </c>
      <c r="C53" s="7">
        <v>33</v>
      </c>
      <c r="D53" s="8" t="s">
        <v>14</v>
      </c>
      <c r="E53" s="10">
        <v>3423.13</v>
      </c>
      <c r="F53" s="12" t="s">
        <v>31</v>
      </c>
      <c r="G53" s="2">
        <v>113</v>
      </c>
      <c r="H53" s="2" t="s">
        <v>81</v>
      </c>
      <c r="I53" s="2" t="s">
        <v>84</v>
      </c>
    </row>
    <row r="54" spans="1:9" x14ac:dyDescent="0.25">
      <c r="A54" s="7">
        <v>53</v>
      </c>
      <c r="B54" s="8" t="s">
        <v>11</v>
      </c>
      <c r="C54" s="7">
        <v>39</v>
      </c>
      <c r="D54" s="8" t="s">
        <v>18</v>
      </c>
      <c r="E54" s="10">
        <v>4367.6400000000003</v>
      </c>
      <c r="F54" s="12" t="s">
        <v>32</v>
      </c>
      <c r="G54" s="2">
        <v>62</v>
      </c>
      <c r="H54" s="2" t="s">
        <v>81</v>
      </c>
      <c r="I54" s="2" t="s">
        <v>85</v>
      </c>
    </row>
    <row r="55" spans="1:9" x14ac:dyDescent="0.25">
      <c r="A55" s="7">
        <v>54</v>
      </c>
      <c r="B55" s="8" t="s">
        <v>10</v>
      </c>
      <c r="C55" s="7">
        <v>51</v>
      </c>
      <c r="D55" s="8" t="s">
        <v>15</v>
      </c>
      <c r="E55" s="10">
        <v>2718.98</v>
      </c>
      <c r="F55" s="12" t="s">
        <v>33</v>
      </c>
      <c r="G55" s="2">
        <v>69</v>
      </c>
      <c r="H55" s="2" t="s">
        <v>82</v>
      </c>
      <c r="I55" s="2" t="s">
        <v>84</v>
      </c>
    </row>
    <row r="56" spans="1:9" x14ac:dyDescent="0.25">
      <c r="A56" s="7">
        <v>55</v>
      </c>
      <c r="B56" s="8" t="s">
        <v>12</v>
      </c>
      <c r="C56" s="7">
        <v>42</v>
      </c>
      <c r="D56" s="8" t="s">
        <v>18</v>
      </c>
      <c r="E56" s="10">
        <v>4048.83</v>
      </c>
      <c r="F56" s="12" t="s">
        <v>34</v>
      </c>
      <c r="G56" s="2">
        <v>84</v>
      </c>
      <c r="H56" s="2" t="s">
        <v>81</v>
      </c>
      <c r="I56" s="2" t="s">
        <v>85</v>
      </c>
    </row>
    <row r="57" spans="1:9" x14ac:dyDescent="0.25">
      <c r="A57" s="7">
        <v>56</v>
      </c>
      <c r="B57" s="8" t="s">
        <v>13</v>
      </c>
      <c r="C57" s="7">
        <v>54</v>
      </c>
      <c r="D57" s="8" t="s">
        <v>17</v>
      </c>
      <c r="E57" s="10">
        <v>2832.46</v>
      </c>
      <c r="F57" s="12" t="s">
        <v>35</v>
      </c>
      <c r="G57" s="2">
        <v>119</v>
      </c>
      <c r="H57" s="2" t="s">
        <v>81</v>
      </c>
      <c r="I57" s="2" t="s">
        <v>85</v>
      </c>
    </row>
    <row r="58" spans="1:9" x14ac:dyDescent="0.25">
      <c r="A58" s="7">
        <v>57</v>
      </c>
      <c r="B58" s="8" t="s">
        <v>13</v>
      </c>
      <c r="C58" s="7">
        <v>53</v>
      </c>
      <c r="D58" s="8" t="s">
        <v>17</v>
      </c>
      <c r="E58" s="10">
        <v>1600.54</v>
      </c>
      <c r="F58" s="12" t="s">
        <v>36</v>
      </c>
      <c r="G58" s="2">
        <v>87</v>
      </c>
      <c r="H58" s="2" t="s">
        <v>82</v>
      </c>
      <c r="I58" s="2" t="s">
        <v>85</v>
      </c>
    </row>
    <row r="59" spans="1:9" x14ac:dyDescent="0.25">
      <c r="A59" s="7">
        <v>58</v>
      </c>
      <c r="B59" s="8" t="s">
        <v>11</v>
      </c>
      <c r="C59" s="7">
        <v>50</v>
      </c>
      <c r="D59" s="8" t="s">
        <v>18</v>
      </c>
      <c r="E59" s="10">
        <v>1930.06</v>
      </c>
      <c r="F59" s="12" t="s">
        <v>37</v>
      </c>
      <c r="G59" s="2">
        <v>88</v>
      </c>
      <c r="H59" s="2" t="s">
        <v>80</v>
      </c>
      <c r="I59" s="2" t="s">
        <v>85</v>
      </c>
    </row>
    <row r="60" spans="1:9" x14ac:dyDescent="0.25">
      <c r="A60" s="7">
        <v>59</v>
      </c>
      <c r="B60" s="8" t="s">
        <v>11</v>
      </c>
      <c r="C60" s="7">
        <v>37</v>
      </c>
      <c r="D60" s="8" t="s">
        <v>18</v>
      </c>
      <c r="E60" s="10">
        <v>2279.9899999999998</v>
      </c>
      <c r="F60" s="12" t="s">
        <v>38</v>
      </c>
      <c r="H60" s="2" t="s">
        <v>82</v>
      </c>
      <c r="I60" s="2" t="s">
        <v>84</v>
      </c>
    </row>
    <row r="61" spans="1:9" x14ac:dyDescent="0.25">
      <c r="A61" s="7">
        <v>60</v>
      </c>
      <c r="B61" s="8" t="s">
        <v>10</v>
      </c>
      <c r="C61" s="7">
        <v>31</v>
      </c>
      <c r="D61" s="8" t="s">
        <v>18</v>
      </c>
      <c r="E61" s="10">
        <v>1880.81</v>
      </c>
      <c r="F61" s="12" t="s">
        <v>39</v>
      </c>
      <c r="G61" s="2">
        <v>74</v>
      </c>
      <c r="H61" s="2" t="s">
        <v>82</v>
      </c>
      <c r="I61" s="2" t="s">
        <v>85</v>
      </c>
    </row>
    <row r="62" spans="1:9" x14ac:dyDescent="0.25">
      <c r="A62" s="7">
        <v>61</v>
      </c>
      <c r="B62" s="8" t="s">
        <v>10</v>
      </c>
      <c r="C62" s="7">
        <v>50</v>
      </c>
      <c r="D62" s="8" t="s">
        <v>18</v>
      </c>
      <c r="E62" s="10">
        <v>3640.41</v>
      </c>
      <c r="F62" s="12" t="s">
        <v>40</v>
      </c>
      <c r="G62" s="2">
        <v>172</v>
      </c>
      <c r="H62" s="2" t="s">
        <v>82</v>
      </c>
      <c r="I62" s="2" t="s">
        <v>84</v>
      </c>
    </row>
    <row r="63" spans="1:9" x14ac:dyDescent="0.25">
      <c r="A63" s="7">
        <v>62</v>
      </c>
      <c r="B63" s="8" t="s">
        <v>12</v>
      </c>
      <c r="C63" s="7">
        <v>26</v>
      </c>
      <c r="D63" s="8" t="s">
        <v>18</v>
      </c>
      <c r="E63" s="10">
        <v>3092.08</v>
      </c>
      <c r="F63" s="12" t="s">
        <v>41</v>
      </c>
      <c r="G63" s="2">
        <v>163</v>
      </c>
      <c r="H63" s="2" t="s">
        <v>82</v>
      </c>
      <c r="I63" s="2" t="s">
        <v>85</v>
      </c>
    </row>
    <row r="64" spans="1:9" x14ac:dyDescent="0.25">
      <c r="A64" s="7">
        <v>63</v>
      </c>
      <c r="B64" s="8" t="s">
        <v>12</v>
      </c>
      <c r="C64" s="7">
        <v>52</v>
      </c>
      <c r="D64" s="8" t="s">
        <v>18</v>
      </c>
      <c r="F64" s="12" t="s">
        <v>42</v>
      </c>
      <c r="G64" s="2">
        <v>98</v>
      </c>
      <c r="H64" s="2" t="s">
        <v>82</v>
      </c>
      <c r="I64" s="2" t="s">
        <v>84</v>
      </c>
    </row>
    <row r="65" spans="1:9" x14ac:dyDescent="0.25">
      <c r="A65" s="7">
        <v>64</v>
      </c>
      <c r="B65" s="8" t="s">
        <v>13</v>
      </c>
      <c r="C65" s="7">
        <v>48</v>
      </c>
      <c r="D65" s="8" t="s">
        <v>14</v>
      </c>
      <c r="E65" s="10">
        <v>2330.33</v>
      </c>
      <c r="F65" s="12" t="s">
        <v>43</v>
      </c>
      <c r="G65" s="2">
        <v>86</v>
      </c>
      <c r="H65" s="2" t="s">
        <v>81</v>
      </c>
      <c r="I65" s="2" t="s">
        <v>84</v>
      </c>
    </row>
    <row r="66" spans="1:9" x14ac:dyDescent="0.25">
      <c r="A66" s="7">
        <v>65</v>
      </c>
      <c r="B66" s="8" t="s">
        <v>11</v>
      </c>
      <c r="C66" s="7">
        <v>59</v>
      </c>
      <c r="D66" s="8" t="s">
        <v>16</v>
      </c>
      <c r="E66" s="10">
        <v>2006.06</v>
      </c>
      <c r="F66" s="12" t="s">
        <v>44</v>
      </c>
      <c r="G66" s="2">
        <v>59</v>
      </c>
      <c r="H66" s="2" t="s">
        <v>82</v>
      </c>
      <c r="I66" s="2" t="s">
        <v>84</v>
      </c>
    </row>
    <row r="67" spans="1:9" x14ac:dyDescent="0.25">
      <c r="A67" s="7">
        <v>66</v>
      </c>
      <c r="B67" s="8" t="s">
        <v>13</v>
      </c>
      <c r="C67" s="7">
        <v>50</v>
      </c>
      <c r="D67" s="8" t="s">
        <v>16</v>
      </c>
      <c r="E67" s="10">
        <v>2188.89</v>
      </c>
      <c r="F67" s="12" t="s">
        <v>45</v>
      </c>
      <c r="G67" s="2">
        <v>26</v>
      </c>
      <c r="H67" s="2" t="s">
        <v>81</v>
      </c>
      <c r="I67" s="2" t="s">
        <v>84</v>
      </c>
    </row>
    <row r="68" spans="1:9" x14ac:dyDescent="0.25">
      <c r="A68" s="7">
        <v>67</v>
      </c>
      <c r="B68" s="8" t="s">
        <v>11</v>
      </c>
      <c r="C68" s="7">
        <v>29</v>
      </c>
      <c r="D68" s="8" t="s">
        <v>15</v>
      </c>
      <c r="E68" s="10">
        <v>2088.23</v>
      </c>
      <c r="F68" s="12" t="s">
        <v>46</v>
      </c>
      <c r="G68" s="2">
        <v>137</v>
      </c>
      <c r="H68" s="2" t="s">
        <v>80</v>
      </c>
      <c r="I68" s="2" t="s">
        <v>84</v>
      </c>
    </row>
    <row r="69" spans="1:9" x14ac:dyDescent="0.25">
      <c r="A69" s="7">
        <v>68</v>
      </c>
      <c r="B69" s="8" t="s">
        <v>13</v>
      </c>
      <c r="C69" s="7">
        <v>60</v>
      </c>
      <c r="D69" s="8" t="s">
        <v>14</v>
      </c>
      <c r="E69" s="10">
        <v>3676.33</v>
      </c>
      <c r="F69" s="12" t="s">
        <v>47</v>
      </c>
      <c r="G69" s="2">
        <v>35</v>
      </c>
      <c r="H69" s="2" t="s">
        <v>80</v>
      </c>
      <c r="I69" s="2" t="s">
        <v>84</v>
      </c>
    </row>
    <row r="70" spans="1:9" x14ac:dyDescent="0.25">
      <c r="A70" s="7">
        <v>69</v>
      </c>
      <c r="B70" s="8" t="s">
        <v>13</v>
      </c>
      <c r="C70" s="7">
        <v>56</v>
      </c>
      <c r="D70" s="8" t="s">
        <v>17</v>
      </c>
      <c r="E70" s="10">
        <v>2485.64</v>
      </c>
      <c r="F70" s="12" t="s">
        <v>48</v>
      </c>
      <c r="G70" s="2">
        <v>158</v>
      </c>
      <c r="H70" s="2" t="s">
        <v>82</v>
      </c>
      <c r="I70" s="2" t="s">
        <v>85</v>
      </c>
    </row>
    <row r="71" spans="1:9" x14ac:dyDescent="0.25">
      <c r="A71" s="7">
        <v>70</v>
      </c>
      <c r="B71" s="8" t="s">
        <v>11</v>
      </c>
      <c r="C71" s="7">
        <v>33</v>
      </c>
      <c r="D71" s="8" t="s">
        <v>14</v>
      </c>
      <c r="E71" s="10">
        <v>2096.34</v>
      </c>
      <c r="F71" s="12" t="s">
        <v>49</v>
      </c>
      <c r="G71" s="2">
        <v>134</v>
      </c>
      <c r="H71" s="2" t="s">
        <v>81</v>
      </c>
      <c r="I71" s="2" t="s">
        <v>84</v>
      </c>
    </row>
    <row r="72" spans="1:9" x14ac:dyDescent="0.25">
      <c r="A72" s="7">
        <v>71</v>
      </c>
      <c r="B72" s="8" t="s">
        <v>10</v>
      </c>
      <c r="C72" s="7">
        <v>34</v>
      </c>
      <c r="D72" s="8" t="s">
        <v>14</v>
      </c>
      <c r="E72" s="10">
        <v>2773.44</v>
      </c>
      <c r="F72" s="12" t="s">
        <v>50</v>
      </c>
      <c r="G72" s="2">
        <v>44</v>
      </c>
      <c r="H72" s="2" t="s">
        <v>80</v>
      </c>
      <c r="I72" s="2" t="s">
        <v>85</v>
      </c>
    </row>
    <row r="73" spans="1:9" x14ac:dyDescent="0.25">
      <c r="A73" s="7">
        <v>72</v>
      </c>
      <c r="B73" s="8" t="s">
        <v>13</v>
      </c>
      <c r="C73" s="7">
        <v>34</v>
      </c>
      <c r="D73" s="8" t="s">
        <v>17</v>
      </c>
      <c r="E73" s="10">
        <v>4056.13</v>
      </c>
      <c r="F73" s="12" t="s">
        <v>51</v>
      </c>
      <c r="G73" s="2">
        <v>103</v>
      </c>
      <c r="H73" s="2" t="s">
        <v>80</v>
      </c>
      <c r="I73" s="2" t="s">
        <v>85</v>
      </c>
    </row>
    <row r="74" spans="1:9" x14ac:dyDescent="0.25">
      <c r="A74" s="7">
        <v>73</v>
      </c>
      <c r="B74" s="8" t="s">
        <v>13</v>
      </c>
      <c r="C74" s="7">
        <v>63</v>
      </c>
      <c r="D74" s="8" t="s">
        <v>15</v>
      </c>
      <c r="E74" s="10">
        <v>2605.59</v>
      </c>
      <c r="F74" s="12" t="s">
        <v>52</v>
      </c>
      <c r="G74" s="2">
        <v>137</v>
      </c>
      <c r="H74" s="2" t="s">
        <v>81</v>
      </c>
      <c r="I74" s="2" t="s">
        <v>85</v>
      </c>
    </row>
    <row r="75" spans="1:9" x14ac:dyDescent="0.25">
      <c r="A75" s="7">
        <v>74</v>
      </c>
      <c r="B75" s="8" t="s">
        <v>12</v>
      </c>
      <c r="C75" s="7">
        <v>27</v>
      </c>
      <c r="D75" s="8" t="s">
        <v>15</v>
      </c>
      <c r="E75" s="10">
        <v>4199.9399999999996</v>
      </c>
      <c r="F75" s="12" t="s">
        <v>53</v>
      </c>
      <c r="G75" s="2">
        <v>89</v>
      </c>
      <c r="H75" s="2" t="s">
        <v>80</v>
      </c>
      <c r="I75" s="2" t="s">
        <v>85</v>
      </c>
    </row>
    <row r="76" spans="1:9" x14ac:dyDescent="0.25">
      <c r="A76" s="7">
        <v>75</v>
      </c>
      <c r="B76" s="8" t="s">
        <v>12</v>
      </c>
      <c r="C76" s="7">
        <v>24</v>
      </c>
      <c r="D76" s="8" t="s">
        <v>18</v>
      </c>
      <c r="E76" s="10">
        <v>4018.51</v>
      </c>
      <c r="F76" s="12" t="s">
        <v>54</v>
      </c>
      <c r="G76" s="2">
        <v>63</v>
      </c>
      <c r="H76" s="2" t="s">
        <v>82</v>
      </c>
      <c r="I76" s="2" t="s">
        <v>84</v>
      </c>
    </row>
    <row r="77" spans="1:9" x14ac:dyDescent="0.25">
      <c r="A77" s="7">
        <v>76</v>
      </c>
      <c r="B77" s="8" t="s">
        <v>9</v>
      </c>
      <c r="C77" s="7">
        <v>30</v>
      </c>
      <c r="D77" s="8" t="s">
        <v>14</v>
      </c>
      <c r="E77" s="10">
        <v>2698.24</v>
      </c>
      <c r="F77" s="12" t="s">
        <v>55</v>
      </c>
      <c r="G77" s="2">
        <v>159</v>
      </c>
      <c r="H77" s="2" t="s">
        <v>83</v>
      </c>
      <c r="I77" s="2" t="s">
        <v>84</v>
      </c>
    </row>
    <row r="78" spans="1:9" x14ac:dyDescent="0.25">
      <c r="A78" s="7">
        <v>77</v>
      </c>
      <c r="B78" s="8" t="s">
        <v>13</v>
      </c>
      <c r="C78" s="7">
        <v>24</v>
      </c>
      <c r="D78" s="8" t="s">
        <v>15</v>
      </c>
      <c r="E78" s="10">
        <v>3266.74</v>
      </c>
      <c r="F78" s="12" t="s">
        <v>56</v>
      </c>
      <c r="G78" s="2">
        <v>61</v>
      </c>
      <c r="H78" s="2" t="s">
        <v>83</v>
      </c>
      <c r="I78" s="2" t="s">
        <v>85</v>
      </c>
    </row>
    <row r="79" spans="1:9" x14ac:dyDescent="0.25">
      <c r="A79" s="7">
        <v>78</v>
      </c>
      <c r="B79" s="8" t="s">
        <v>13</v>
      </c>
      <c r="C79" s="7">
        <v>23</v>
      </c>
      <c r="D79" s="8" t="s">
        <v>18</v>
      </c>
      <c r="E79" s="10">
        <v>2336.83</v>
      </c>
      <c r="F79" s="12" t="s">
        <v>57</v>
      </c>
      <c r="G79" s="2">
        <v>183</v>
      </c>
      <c r="H79" s="2" t="s">
        <v>81</v>
      </c>
      <c r="I79" s="2" t="s">
        <v>84</v>
      </c>
    </row>
    <row r="80" spans="1:9" x14ac:dyDescent="0.25">
      <c r="A80" s="7">
        <v>79</v>
      </c>
      <c r="B80" s="8" t="s">
        <v>11</v>
      </c>
      <c r="C80" s="7">
        <v>30</v>
      </c>
      <c r="D80" s="8" t="s">
        <v>17</v>
      </c>
      <c r="E80" s="10">
        <v>2248.6</v>
      </c>
      <c r="F80" s="12" t="s">
        <v>58</v>
      </c>
      <c r="G80" s="2">
        <v>113</v>
      </c>
      <c r="H80" s="2" t="s">
        <v>83</v>
      </c>
      <c r="I80" s="2" t="s">
        <v>85</v>
      </c>
    </row>
    <row r="81" spans="1:9" x14ac:dyDescent="0.25">
      <c r="A81" s="7">
        <v>80</v>
      </c>
      <c r="B81" s="8" t="s">
        <v>12</v>
      </c>
      <c r="C81" s="7">
        <v>49</v>
      </c>
      <c r="D81" s="8" t="s">
        <v>17</v>
      </c>
      <c r="E81" s="10">
        <v>3867.36</v>
      </c>
      <c r="F81" s="12" t="s">
        <v>59</v>
      </c>
      <c r="G81" s="2">
        <v>136</v>
      </c>
      <c r="H81" s="2" t="s">
        <v>83</v>
      </c>
      <c r="I81" s="2" t="s">
        <v>85</v>
      </c>
    </row>
    <row r="82" spans="1:9" x14ac:dyDescent="0.25">
      <c r="A82" s="7">
        <v>81</v>
      </c>
      <c r="B82" s="8" t="s">
        <v>13</v>
      </c>
      <c r="C82" s="7">
        <v>52</v>
      </c>
      <c r="D82" s="8" t="s">
        <v>15</v>
      </c>
      <c r="E82" s="10">
        <v>3502.36</v>
      </c>
      <c r="F82" s="12" t="s">
        <v>60</v>
      </c>
      <c r="G82" s="2">
        <v>164</v>
      </c>
      <c r="H82" s="2" t="s">
        <v>81</v>
      </c>
      <c r="I82" s="2" t="s">
        <v>84</v>
      </c>
    </row>
    <row r="83" spans="1:9" x14ac:dyDescent="0.25">
      <c r="A83" s="7">
        <v>82</v>
      </c>
      <c r="B83" s="8" t="s">
        <v>12</v>
      </c>
      <c r="C83" s="7">
        <v>32</v>
      </c>
      <c r="D83" s="8" t="s">
        <v>18</v>
      </c>
      <c r="E83" s="10">
        <v>4476.16</v>
      </c>
      <c r="F83" s="12" t="s">
        <v>61</v>
      </c>
      <c r="G83" s="2">
        <v>126</v>
      </c>
      <c r="H83" s="2" t="s">
        <v>81</v>
      </c>
      <c r="I83" s="2" t="s">
        <v>84</v>
      </c>
    </row>
    <row r="84" spans="1:9" x14ac:dyDescent="0.25">
      <c r="A84" s="7">
        <v>83</v>
      </c>
      <c r="B84" s="8" t="s">
        <v>9</v>
      </c>
      <c r="C84" s="7">
        <v>40</v>
      </c>
      <c r="D84" s="8" t="s">
        <v>15</v>
      </c>
      <c r="E84" s="10">
        <v>1843.27</v>
      </c>
      <c r="F84" s="12" t="s">
        <v>62</v>
      </c>
      <c r="G84" s="2">
        <v>43</v>
      </c>
      <c r="H84" s="2" t="s">
        <v>82</v>
      </c>
      <c r="I84" s="2" t="s">
        <v>84</v>
      </c>
    </row>
    <row r="85" spans="1:9" x14ac:dyDescent="0.25">
      <c r="A85" s="7">
        <v>84</v>
      </c>
      <c r="B85" s="8" t="s">
        <v>10</v>
      </c>
      <c r="C85" s="7">
        <v>20</v>
      </c>
      <c r="D85" s="8" t="s">
        <v>15</v>
      </c>
      <c r="E85" s="10">
        <v>4417.3900000000003</v>
      </c>
      <c r="F85" s="12" t="s">
        <v>63</v>
      </c>
      <c r="G85" s="2">
        <v>197</v>
      </c>
      <c r="H85" s="2" t="s">
        <v>81</v>
      </c>
      <c r="I85" s="2" t="s">
        <v>84</v>
      </c>
    </row>
    <row r="86" spans="1:9" x14ac:dyDescent="0.25">
      <c r="A86" s="7">
        <v>85</v>
      </c>
      <c r="B86" s="8" t="s">
        <v>11</v>
      </c>
      <c r="C86" s="7">
        <v>46</v>
      </c>
      <c r="D86" s="8" t="s">
        <v>15</v>
      </c>
      <c r="E86" s="10">
        <v>2112.16</v>
      </c>
      <c r="F86" s="12" t="s">
        <v>64</v>
      </c>
      <c r="G86" s="2">
        <v>103</v>
      </c>
      <c r="H86" s="2" t="s">
        <v>81</v>
      </c>
      <c r="I86" s="2" t="s">
        <v>84</v>
      </c>
    </row>
    <row r="87" spans="1:9" x14ac:dyDescent="0.25">
      <c r="A87" s="7">
        <v>86</v>
      </c>
      <c r="B87" s="8" t="s">
        <v>9</v>
      </c>
      <c r="C87" s="7">
        <v>33</v>
      </c>
      <c r="D87" s="8" t="s">
        <v>17</v>
      </c>
      <c r="E87" s="10">
        <v>4590.47</v>
      </c>
      <c r="F87" s="12" t="s">
        <v>65</v>
      </c>
      <c r="G87" s="2">
        <v>28</v>
      </c>
      <c r="H87" s="2" t="s">
        <v>80</v>
      </c>
      <c r="I87" s="2" t="s">
        <v>84</v>
      </c>
    </row>
    <row r="88" spans="1:9" x14ac:dyDescent="0.25">
      <c r="A88" s="7">
        <v>87</v>
      </c>
      <c r="B88" s="8" t="s">
        <v>12</v>
      </c>
      <c r="C88" s="7">
        <v>45</v>
      </c>
      <c r="D88" s="8" t="s">
        <v>15</v>
      </c>
      <c r="E88" s="10">
        <v>4803.0200000000004</v>
      </c>
      <c r="F88" s="12" t="s">
        <v>66</v>
      </c>
      <c r="G88" s="2">
        <v>23</v>
      </c>
      <c r="H88" s="2" t="s">
        <v>83</v>
      </c>
      <c r="I88" s="2" t="s">
        <v>84</v>
      </c>
    </row>
    <row r="89" spans="1:9" x14ac:dyDescent="0.25">
      <c r="A89" s="7">
        <v>88</v>
      </c>
      <c r="B89" s="8" t="s">
        <v>13</v>
      </c>
      <c r="C89" s="7">
        <v>39</v>
      </c>
      <c r="D89" s="8" t="s">
        <v>15</v>
      </c>
      <c r="E89" s="10">
        <v>2735.1</v>
      </c>
      <c r="F89" s="12" t="s">
        <v>67</v>
      </c>
      <c r="G89" s="2">
        <v>149</v>
      </c>
      <c r="H89" s="2" t="s">
        <v>82</v>
      </c>
      <c r="I89" s="2" t="s">
        <v>84</v>
      </c>
    </row>
    <row r="90" spans="1:9" x14ac:dyDescent="0.25">
      <c r="A90" s="7">
        <v>89</v>
      </c>
      <c r="B90" s="8" t="s">
        <v>13</v>
      </c>
      <c r="C90" s="7">
        <v>57</v>
      </c>
      <c r="D90" s="8" t="s">
        <v>18</v>
      </c>
      <c r="E90" s="10">
        <v>4121.71</v>
      </c>
      <c r="F90" s="12" t="s">
        <v>68</v>
      </c>
      <c r="G90" s="2">
        <v>102</v>
      </c>
      <c r="H90" s="2" t="s">
        <v>81</v>
      </c>
      <c r="I90" s="2" t="s">
        <v>84</v>
      </c>
    </row>
    <row r="91" spans="1:9" x14ac:dyDescent="0.25">
      <c r="A91" s="7">
        <v>90</v>
      </c>
      <c r="B91" s="8" t="s">
        <v>13</v>
      </c>
      <c r="C91" s="7">
        <v>48</v>
      </c>
      <c r="D91" s="8" t="s">
        <v>17</v>
      </c>
      <c r="E91" s="10">
        <v>3694.21</v>
      </c>
      <c r="F91" s="12" t="s">
        <v>69</v>
      </c>
      <c r="G91" s="2">
        <v>158</v>
      </c>
      <c r="H91" s="2" t="s">
        <v>80</v>
      </c>
      <c r="I91" s="2" t="s">
        <v>84</v>
      </c>
    </row>
    <row r="92" spans="1:9" x14ac:dyDescent="0.25">
      <c r="A92" s="7">
        <v>91</v>
      </c>
      <c r="B92" s="8" t="s">
        <v>11</v>
      </c>
      <c r="D92" s="8" t="s">
        <v>16</v>
      </c>
      <c r="E92" s="10">
        <v>2687.75</v>
      </c>
      <c r="F92" s="12" t="s">
        <v>70</v>
      </c>
      <c r="G92" s="2">
        <v>198</v>
      </c>
      <c r="H92" s="2" t="s">
        <v>80</v>
      </c>
      <c r="I92" s="2" t="s">
        <v>85</v>
      </c>
    </row>
    <row r="93" spans="1:9" x14ac:dyDescent="0.25">
      <c r="A93" s="7">
        <v>92</v>
      </c>
      <c r="B93" s="8" t="s">
        <v>13</v>
      </c>
      <c r="C93" s="7">
        <v>33</v>
      </c>
      <c r="D93" s="8" t="s">
        <v>18</v>
      </c>
      <c r="E93" s="10">
        <v>3484.82</v>
      </c>
      <c r="F93" s="12" t="s">
        <v>71</v>
      </c>
      <c r="G93" s="2">
        <v>92</v>
      </c>
      <c r="H93" s="2" t="s">
        <v>80</v>
      </c>
      <c r="I93" s="2" t="s">
        <v>85</v>
      </c>
    </row>
    <row r="94" spans="1:9" x14ac:dyDescent="0.25">
      <c r="A94" s="7">
        <v>93</v>
      </c>
      <c r="B94" s="8" t="s">
        <v>11</v>
      </c>
      <c r="C94" s="7">
        <v>21</v>
      </c>
      <c r="D94" s="8" t="s">
        <v>16</v>
      </c>
      <c r="E94" s="10">
        <v>3907.01</v>
      </c>
      <c r="F94" s="12" t="s">
        <v>72</v>
      </c>
      <c r="G94" s="2">
        <v>28</v>
      </c>
      <c r="H94" s="2" t="s">
        <v>80</v>
      </c>
      <c r="I94" s="2" t="s">
        <v>84</v>
      </c>
    </row>
    <row r="95" spans="1:9" x14ac:dyDescent="0.25">
      <c r="A95" s="7">
        <v>94</v>
      </c>
      <c r="B95" s="8" t="s">
        <v>9</v>
      </c>
      <c r="C95" s="7">
        <v>24</v>
      </c>
      <c r="D95" s="8" t="s">
        <v>18</v>
      </c>
      <c r="E95" s="10">
        <v>3663.35</v>
      </c>
      <c r="F95" s="12" t="s">
        <v>73</v>
      </c>
      <c r="G95" s="2">
        <v>84</v>
      </c>
      <c r="H95" s="2" t="s">
        <v>81</v>
      </c>
      <c r="I95" s="2" t="s">
        <v>85</v>
      </c>
    </row>
    <row r="96" spans="1:9" x14ac:dyDescent="0.25">
      <c r="A96" s="7">
        <v>95</v>
      </c>
      <c r="B96" s="8" t="s">
        <v>13</v>
      </c>
      <c r="C96" s="7">
        <v>39</v>
      </c>
      <c r="D96" s="8" t="s">
        <v>18</v>
      </c>
      <c r="E96" s="10">
        <v>2718.57</v>
      </c>
      <c r="F96" s="12" t="s">
        <v>74</v>
      </c>
      <c r="G96" s="2">
        <v>178</v>
      </c>
      <c r="H96" s="2" t="s">
        <v>80</v>
      </c>
      <c r="I96" s="2" t="s">
        <v>84</v>
      </c>
    </row>
    <row r="97" spans="1:9" x14ac:dyDescent="0.25">
      <c r="A97" s="7">
        <v>96</v>
      </c>
      <c r="B97" s="8" t="s">
        <v>12</v>
      </c>
      <c r="C97" s="7">
        <v>51</v>
      </c>
      <c r="D97" s="8" t="s">
        <v>15</v>
      </c>
      <c r="E97" s="10">
        <v>4704.1400000000003</v>
      </c>
      <c r="F97" s="12" t="s">
        <v>75</v>
      </c>
      <c r="G97" s="2">
        <v>147</v>
      </c>
      <c r="H97" s="2" t="s">
        <v>82</v>
      </c>
      <c r="I97" s="2" t="s">
        <v>85</v>
      </c>
    </row>
    <row r="98" spans="1:9" x14ac:dyDescent="0.25">
      <c r="A98" s="7">
        <v>97</v>
      </c>
      <c r="B98" s="8" t="s">
        <v>9</v>
      </c>
      <c r="C98" s="7">
        <v>33</v>
      </c>
      <c r="D98" s="8" t="s">
        <v>17</v>
      </c>
      <c r="E98" s="10">
        <v>3531.2</v>
      </c>
      <c r="F98" s="12" t="s">
        <v>76</v>
      </c>
      <c r="G98" s="2">
        <v>197</v>
      </c>
      <c r="H98" s="2" t="s">
        <v>81</v>
      </c>
      <c r="I98" s="2" t="s">
        <v>85</v>
      </c>
    </row>
    <row r="99" spans="1:9" x14ac:dyDescent="0.25">
      <c r="A99" s="7">
        <v>98</v>
      </c>
      <c r="B99" s="8" t="s">
        <v>9</v>
      </c>
      <c r="C99" s="7">
        <v>48</v>
      </c>
      <c r="D99" s="8" t="s">
        <v>14</v>
      </c>
      <c r="E99" s="10">
        <v>1562.39</v>
      </c>
      <c r="F99" s="12" t="s">
        <v>77</v>
      </c>
      <c r="G99" s="2">
        <v>72</v>
      </c>
      <c r="H99" s="2" t="s">
        <v>81</v>
      </c>
      <c r="I99" s="2" t="s">
        <v>85</v>
      </c>
    </row>
    <row r="100" spans="1:9" x14ac:dyDescent="0.25">
      <c r="A100" s="7">
        <v>99</v>
      </c>
      <c r="B100" s="8" t="s">
        <v>12</v>
      </c>
      <c r="C100" s="7">
        <v>22</v>
      </c>
      <c r="D100" s="8" t="s">
        <v>15</v>
      </c>
      <c r="E100" s="10">
        <v>3526.27</v>
      </c>
      <c r="F100" s="12" t="s">
        <v>78</v>
      </c>
      <c r="G100" s="2">
        <v>23</v>
      </c>
      <c r="H100" s="2" t="s">
        <v>82</v>
      </c>
      <c r="I100" s="2" t="s">
        <v>85</v>
      </c>
    </row>
    <row r="101" spans="1:9" x14ac:dyDescent="0.25">
      <c r="A101" s="7">
        <v>100</v>
      </c>
      <c r="B101" s="8" t="s">
        <v>13</v>
      </c>
      <c r="C101" s="7">
        <v>51</v>
      </c>
      <c r="D101" s="8" t="s">
        <v>16</v>
      </c>
      <c r="E101" s="10">
        <v>4208.8999999999996</v>
      </c>
      <c r="F101" s="12" t="s">
        <v>79</v>
      </c>
      <c r="G101" s="2">
        <v>25</v>
      </c>
      <c r="H101" s="2" t="s">
        <v>80</v>
      </c>
      <c r="I101" s="2" t="s">
        <v>84</v>
      </c>
    </row>
  </sheetData>
  <autoFilter ref="A1:I101" xr:uid="{7441ADF4-EDCA-4A0C-8459-0586887862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Hoja4</vt:lpstr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Estudiante</cp:lastModifiedBy>
  <dcterms:created xsi:type="dcterms:W3CDTF">2025-01-29T23:18:56Z</dcterms:created>
  <dcterms:modified xsi:type="dcterms:W3CDTF">2025-10-10T02:01:51Z</dcterms:modified>
</cp:coreProperties>
</file>